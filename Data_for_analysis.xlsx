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ohsuitg-my.sharepoint.com/personal/hutchenm_ohsu_edu/Documents/From_Box/Hutch Lab Common Folder/Publications_Presentations/Manuscripts/HPTEC_paper/"/>
    </mc:Choice>
  </mc:AlternateContent>
  <xr:revisionPtr revIDLastSave="851" documentId="11_F25DC773A252ABDACC10489AB9DA5E985BDE58EF" xr6:coauthVersionLast="47" xr6:coauthVersionMax="47" xr10:uidLastSave="{24885A4B-8960-4ED9-9700-428637402B4E}"/>
  <bookViews>
    <workbookView xWindow="-120" yWindow="-120" windowWidth="29040" windowHeight="15720" activeTab="6" xr2:uid="{00000000-000D-0000-FFFF-FFFF00000000}"/>
  </bookViews>
  <sheets>
    <sheet name="Mb1" sheetId="1" r:id="rId1"/>
    <sheet name="Mb2" sheetId="2" r:id="rId2"/>
    <sheet name="Dyna" sheetId="4" r:id="rId3"/>
    <sheet name="Cil" sheetId="6" r:id="rId4"/>
    <sheet name="siRNA_qPCR" sheetId="8" r:id="rId5"/>
    <sheet name="LRP2WB" sheetId="9" r:id="rId6"/>
    <sheet name="LRP2_passWB" sheetId="12" r:id="rId7"/>
    <sheet name="AQP1WB" sheetId="11" r:id="rId8"/>
    <sheet name="siRNA" sheetId="5" r:id="rId9"/>
    <sheet name="VCAM1WB" sheetId="7" r:id="rId10"/>
    <sheet name="Sheet1" sheetId="10" r:id="rId11"/>
  </sheets>
  <definedNames>
    <definedName name="_xlnm._FilterDatabase" localSheetId="3" hidden="1">Cil!$A$1:$F$98</definedName>
    <definedName name="_xlnm._FilterDatabase" localSheetId="2" hidden="1">Dyna!$A$1:$F$318</definedName>
    <definedName name="_xlnm._FilterDatabase" localSheetId="8" hidden="1">siRNA!$A$1:$F$471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2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F2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2" i="2"/>
</calcChain>
</file>

<file path=xl/sharedStrings.xml><?xml version="1.0" encoding="utf-8"?>
<sst xmlns="http://schemas.openxmlformats.org/spreadsheetml/2006/main" count="1671" uniqueCount="271">
  <si>
    <t>comment</t>
  </si>
  <si>
    <t>11192021NHKvsHK2 FITC Mb titration.xlsx</t>
  </si>
  <si>
    <t>Normalized by 2min value</t>
  </si>
  <si>
    <t>ID</t>
  </si>
  <si>
    <t>NHK2</t>
  </si>
  <si>
    <t>NHK1</t>
  </si>
  <si>
    <t>HK2</t>
  </si>
  <si>
    <t>NHK</t>
  </si>
  <si>
    <t>group</t>
  </si>
  <si>
    <t>2-120min analysis</t>
  </si>
  <si>
    <t>NHK4</t>
  </si>
  <si>
    <t>NHK3</t>
  </si>
  <si>
    <t>HK22</t>
  </si>
  <si>
    <t>HK21</t>
  </si>
  <si>
    <t>HK25</t>
  </si>
  <si>
    <t>NHK5</t>
  </si>
  <si>
    <t>NHK6</t>
  </si>
  <si>
    <t>HK23</t>
  </si>
  <si>
    <t>HK24</t>
  </si>
  <si>
    <t>HK26</t>
  </si>
  <si>
    <t>value</t>
  </si>
  <si>
    <t>min</t>
  </si>
  <si>
    <t>adjv</t>
  </si>
  <si>
    <t>std_value</t>
  </si>
  <si>
    <t>PCP_1</t>
  </si>
  <si>
    <t>PCP_2</t>
  </si>
  <si>
    <t>PCP_3</t>
  </si>
  <si>
    <t>PCP_4</t>
  </si>
  <si>
    <t>PCP_5</t>
  </si>
  <si>
    <t>Veh_1</t>
  </si>
  <si>
    <t>Veh_2</t>
  </si>
  <si>
    <t>Veh_3</t>
  </si>
  <si>
    <t>Veh_4</t>
  </si>
  <si>
    <t>Veh_5</t>
  </si>
  <si>
    <t>Dyna10_1</t>
  </si>
  <si>
    <t>Dyna10_2</t>
  </si>
  <si>
    <t>Dyna10_3</t>
  </si>
  <si>
    <t>Dyna10_4</t>
  </si>
  <si>
    <t>Dyna10_5</t>
  </si>
  <si>
    <t>Dyna50_1</t>
  </si>
  <si>
    <t>Dyna50_2</t>
  </si>
  <si>
    <t>Dyna50_3</t>
  </si>
  <si>
    <t>Dyna50_4</t>
  </si>
  <si>
    <t>Dyna50_5</t>
  </si>
  <si>
    <t>woMb_1</t>
  </si>
  <si>
    <t>woMb_2</t>
  </si>
  <si>
    <t>woMb_3</t>
  </si>
  <si>
    <t>woMb_4</t>
  </si>
  <si>
    <t>woMb_5</t>
  </si>
  <si>
    <t>wMb_1</t>
  </si>
  <si>
    <t>wMb_2</t>
  </si>
  <si>
    <t>wMb_3</t>
  </si>
  <si>
    <t>wMb_4</t>
  </si>
  <si>
    <t>wMb_5</t>
  </si>
  <si>
    <t>onlyMb</t>
  </si>
  <si>
    <t>onlyMb_1</t>
  </si>
  <si>
    <t>onlyMb_2</t>
  </si>
  <si>
    <t>onlyMb_3</t>
  </si>
  <si>
    <t>onlyMb_4</t>
  </si>
  <si>
    <t>onlyMb_5</t>
  </si>
  <si>
    <t>03032022NHK_FITC-Mb_LRP2KO_or_endocytosis inhibitor_180min</t>
  </si>
  <si>
    <t>NHK_Mb_Dy10</t>
  </si>
  <si>
    <t>NHK_Mb_Dy50</t>
  </si>
  <si>
    <t>NHK_Mb</t>
  </si>
  <si>
    <t>NHK_Mb_PCP</t>
  </si>
  <si>
    <t>NHK_Mb_Veh</t>
  </si>
  <si>
    <t>adjv -&gt; Normalized by 2min value</t>
  </si>
  <si>
    <t>adjv2 -&gt; additionally normalized by NHK (w/o Mb) value</t>
  </si>
  <si>
    <t>NHK_Mb_DMEM_stv</t>
  </si>
  <si>
    <t>NHK_DMEM_stv</t>
  </si>
  <si>
    <t>NHK_OMEM_stv</t>
  </si>
  <si>
    <t>NHK_Mb_OMEM_stv</t>
  </si>
  <si>
    <t>NHK_Mb_scramble16uL</t>
  </si>
  <si>
    <t>NHK_Mb_scramble2uL</t>
  </si>
  <si>
    <t>NHK_Mb_scramble4uL</t>
  </si>
  <si>
    <t>NHK_Mb_scramble8uL</t>
  </si>
  <si>
    <t>NHK_Mb_siRNA16uL</t>
  </si>
  <si>
    <t>NHK_Mb_siRNA2uL</t>
  </si>
  <si>
    <t>NHK_Mb_siRNA4uL</t>
  </si>
  <si>
    <t>NHK_Mb_siRNA8uL</t>
  </si>
  <si>
    <t>Mb</t>
  </si>
  <si>
    <t>03032022NHK-siRNA_megalin KO 180min</t>
  </si>
  <si>
    <t>Cil</t>
  </si>
  <si>
    <t>FITC-Mgb</t>
  </si>
  <si>
    <t>Mb0_Cil0_1</t>
  </si>
  <si>
    <t>Mb0_Cil0_2</t>
  </si>
  <si>
    <t>Mb0_Cil0_3</t>
  </si>
  <si>
    <t>Mb0_Cil2_1</t>
  </si>
  <si>
    <t>Mb0_Cil2_2</t>
  </si>
  <si>
    <t>Mb0_Cil2_3</t>
  </si>
  <si>
    <t>Mb0_Cil20_1</t>
  </si>
  <si>
    <t>Mb0_Cil20_2</t>
  </si>
  <si>
    <t>Mb0_Cil20_3</t>
  </si>
  <si>
    <t>Mb0_Cil200_1</t>
  </si>
  <si>
    <t>Mb0_Cil200_2</t>
  </si>
  <si>
    <t>Mb0_Cil200_3</t>
  </si>
  <si>
    <t>Mb10_Cil0_1</t>
  </si>
  <si>
    <t>Mb10_Cil0_2</t>
  </si>
  <si>
    <t>Mb10_Cil0_3</t>
  </si>
  <si>
    <t>Mb10_Cil2_1</t>
  </si>
  <si>
    <t>Mb10_Cil2_2</t>
  </si>
  <si>
    <t>Mb10_Cil2_3</t>
  </si>
  <si>
    <t>Mb10_Cil20_1</t>
  </si>
  <si>
    <t>Mb10_Cil20_2</t>
  </si>
  <si>
    <t>Mb10_Cil20_3</t>
  </si>
  <si>
    <t>Mb10_Cil200_1</t>
  </si>
  <si>
    <t>Mb10_Cil200_2</t>
  </si>
  <si>
    <t>Mb10_Cil200_3</t>
  </si>
  <si>
    <t>Mb160_Cil0_1</t>
  </si>
  <si>
    <t>Mb160_Cil0_2</t>
  </si>
  <si>
    <t>Mb160_Cil0_3</t>
  </si>
  <si>
    <t>Mb160_Cil2_1</t>
  </si>
  <si>
    <t>Mb160_Cil2_2</t>
  </si>
  <si>
    <t>Mb160_Cil2_3</t>
  </si>
  <si>
    <t>Mb160_Cil20_1</t>
  </si>
  <si>
    <t>Mb160_Cil20_2</t>
  </si>
  <si>
    <t>Mb160_Cil20_3</t>
  </si>
  <si>
    <t>Mb160_Cil200_1</t>
  </si>
  <si>
    <t>Mb160_Cil200_2</t>
  </si>
  <si>
    <t>Mb160_Cil200_3</t>
  </si>
  <si>
    <t>Mb2.5_Cil0_1</t>
  </si>
  <si>
    <t>Mb2.5_Cil0_2</t>
  </si>
  <si>
    <t>Mb2.5_Cil0_3</t>
  </si>
  <si>
    <t>Mb2.5_Cil2_1</t>
  </si>
  <si>
    <t>Mb2.5_Cil2_2</t>
  </si>
  <si>
    <t>Mb2.5_Cil2_3</t>
  </si>
  <si>
    <t>Mb2.5_Cil20_1</t>
  </si>
  <si>
    <t>Mb2.5_Cil20_2</t>
  </si>
  <si>
    <t>Mb2.5_Cil20_3</t>
  </si>
  <si>
    <t>Mb2.5_Cil200_1</t>
  </si>
  <si>
    <t>Mb2.5_Cil200_2</t>
  </si>
  <si>
    <t>Mb2.5_Cil200_3</t>
  </si>
  <si>
    <t>Mb20_Cil0_1</t>
  </si>
  <si>
    <t>Mb20_Cil0_2</t>
  </si>
  <si>
    <t>Mb20_Cil0_3</t>
  </si>
  <si>
    <t>Mb20_Cil2_1</t>
  </si>
  <si>
    <t>Mb20_Cil2_2</t>
  </si>
  <si>
    <t>Mb20_Cil2_3</t>
  </si>
  <si>
    <t>Mb20_Cil20_1</t>
  </si>
  <si>
    <t>Mb20_Cil20_2</t>
  </si>
  <si>
    <t>Mb20_Cil20_3</t>
  </si>
  <si>
    <t>Mb20_Cil200_1</t>
  </si>
  <si>
    <t>Mb20_Cil200_2</t>
  </si>
  <si>
    <t>Mb20_Cil200_3</t>
  </si>
  <si>
    <t>Mb40_Cil0_1</t>
  </si>
  <si>
    <t>Mb40_Cil0_2</t>
  </si>
  <si>
    <t>Mb40_Cil0_3</t>
  </si>
  <si>
    <t>Mb40_Cil2_1</t>
  </si>
  <si>
    <t>Mb40_Cil2_2</t>
  </si>
  <si>
    <t>Mb40_Cil2_3</t>
  </si>
  <si>
    <t>Mb40_Cil20_1</t>
  </si>
  <si>
    <t>Mb40_Cil20_2</t>
  </si>
  <si>
    <t>Mb40_Cil20_3</t>
  </si>
  <si>
    <t>Mb40_Cil200_1</t>
  </si>
  <si>
    <t>Mb40_Cil200_2</t>
  </si>
  <si>
    <t>Mb40_Cil200_3</t>
  </si>
  <si>
    <t>Mb5_Cil0_1</t>
  </si>
  <si>
    <t>Mb5_Cil0_2</t>
  </si>
  <si>
    <t>Mb5_Cil0_3</t>
  </si>
  <si>
    <t>Mb5_Cil2_1</t>
  </si>
  <si>
    <t>Mb5_Cil2_2</t>
  </si>
  <si>
    <t>Mb5_Cil2_3</t>
  </si>
  <si>
    <t>Mb5_Cil20_1</t>
  </si>
  <si>
    <t>Mb5_Cil20_2</t>
  </si>
  <si>
    <t>Mb5_Cil20_3</t>
  </si>
  <si>
    <t>Mb5_Cil200_1</t>
  </si>
  <si>
    <t>Mb5_Cil200_2</t>
  </si>
  <si>
    <t>Mb5_Cil200_3</t>
  </si>
  <si>
    <t>Mb80_Cil0_1</t>
  </si>
  <si>
    <t>Mb80_Cil0_2</t>
  </si>
  <si>
    <t>Mb80_Cil0_3</t>
  </si>
  <si>
    <t>Mb80_Cil2_1</t>
  </si>
  <si>
    <t>Mb80_Cil2_2</t>
  </si>
  <si>
    <t>Mb80_Cil2_3</t>
  </si>
  <si>
    <t>Mb80_Cil20_1</t>
  </si>
  <si>
    <t>Mb80_Cil20_2</t>
  </si>
  <si>
    <t>Mb80_Cil20_3</t>
  </si>
  <si>
    <t>Mb80_Cil200_1</t>
  </si>
  <si>
    <t>Mb80_Cil200_2</t>
  </si>
  <si>
    <t>Mb80_Cil200_3</t>
  </si>
  <si>
    <t>Mb0_Cil0</t>
  </si>
  <si>
    <t>Mb0_Cil2</t>
  </si>
  <si>
    <t>Mb0_Cil20</t>
  </si>
  <si>
    <t>Mb0_Cil200</t>
  </si>
  <si>
    <t>Mb10_Cil0</t>
  </si>
  <si>
    <t>Mb10_Cil2</t>
  </si>
  <si>
    <t>Mb10_Cil20</t>
  </si>
  <si>
    <t>Mb10_Cil200</t>
  </si>
  <si>
    <t>Mb160_Cil0</t>
  </si>
  <si>
    <t>Mb160_Cil2</t>
  </si>
  <si>
    <t>Mb160_Cil20</t>
  </si>
  <si>
    <t>Mb160_Cil200</t>
  </si>
  <si>
    <t>Mb2.5_Cil0</t>
  </si>
  <si>
    <t>Mb2.5_Cil2</t>
  </si>
  <si>
    <t>Mb2.5_Cil20</t>
  </si>
  <si>
    <t>Mb2.5_Cil200</t>
  </si>
  <si>
    <t>Mb20_Cil0</t>
  </si>
  <si>
    <t>Mb20_Cil2</t>
  </si>
  <si>
    <t>Mb20_Cil20</t>
  </si>
  <si>
    <t>Mb20_Cil200</t>
  </si>
  <si>
    <t>Mb40_Cil0</t>
  </si>
  <si>
    <t>Mb40_Cil2</t>
  </si>
  <si>
    <t>Mb40_Cil20</t>
  </si>
  <si>
    <t>Mb40_Cil200</t>
  </si>
  <si>
    <t>Mb5_Cil0</t>
  </si>
  <si>
    <t>Mb5_Cil2</t>
  </si>
  <si>
    <t>Mb5_Cil20</t>
  </si>
  <si>
    <t>Mb5_Cil200</t>
  </si>
  <si>
    <t>Mb80_Cil0</t>
  </si>
  <si>
    <t>Mb80_Cil2</t>
  </si>
  <si>
    <t>Mb80_Cil20</t>
  </si>
  <si>
    <t>Mb80_Cil200</t>
  </si>
  <si>
    <t>NHK13P0_SS_01</t>
  </si>
  <si>
    <t>NHK13P0_SS_02</t>
  </si>
  <si>
    <t>NHK13P0_SS_03</t>
  </si>
  <si>
    <t>NHK13P1_SS_01</t>
  </si>
  <si>
    <t>HPTEC13P2_SS_01</t>
  </si>
  <si>
    <t>NHK13P1_SS_02</t>
  </si>
  <si>
    <t>NHK13P1_SS_03</t>
  </si>
  <si>
    <t>HPTEC13P2_SS_02</t>
  </si>
  <si>
    <t>HPTEC13P2_SS_03</t>
  </si>
  <si>
    <t>HK2P4_SS_01</t>
  </si>
  <si>
    <t>HK2P4_SS_02</t>
  </si>
  <si>
    <t>HK2P4_SS_03</t>
  </si>
  <si>
    <t>DAS1D1_2UL</t>
  </si>
  <si>
    <t>DAC3D1_2UL</t>
  </si>
  <si>
    <t>20250507 WB</t>
  </si>
  <si>
    <t>VCAM1-WB</t>
  </si>
  <si>
    <t>hNSKC_p0</t>
  </si>
  <si>
    <t>hNSKC_p1</t>
  </si>
  <si>
    <t>hPTEC</t>
  </si>
  <si>
    <t>PC1</t>
  </si>
  <si>
    <t>PC2</t>
  </si>
  <si>
    <t>NHK sc</t>
  </si>
  <si>
    <t>NHK KO</t>
  </si>
  <si>
    <t>10272021qPCR test1</t>
  </si>
  <si>
    <t>NHKsc1</t>
  </si>
  <si>
    <t>NHKsc2</t>
  </si>
  <si>
    <t>NHKsc3</t>
  </si>
  <si>
    <t>NHKsc4</t>
  </si>
  <si>
    <t>NHKsc5</t>
  </si>
  <si>
    <t>NHKsc6</t>
  </si>
  <si>
    <t>NHKsi1</t>
  </si>
  <si>
    <t>NHKsi2</t>
  </si>
  <si>
    <t>NHKsi3</t>
  </si>
  <si>
    <t>NHKsi4</t>
  </si>
  <si>
    <t>NHKsi5</t>
  </si>
  <si>
    <t>NHKsi6</t>
  </si>
  <si>
    <t>HK2_1</t>
  </si>
  <si>
    <t>HK2_2</t>
  </si>
  <si>
    <t>HK2_3</t>
  </si>
  <si>
    <t>HK2_4</t>
  </si>
  <si>
    <t>HK2_5</t>
  </si>
  <si>
    <t>LRP2 mRNA standarized by GAPDH</t>
  </si>
  <si>
    <t>20250630 WB</t>
  </si>
  <si>
    <t>LRP2-WB</t>
  </si>
  <si>
    <t>AQP1-WB</t>
  </si>
  <si>
    <t>20260320 WB</t>
  </si>
  <si>
    <t>p2</t>
  </si>
  <si>
    <t>NHK_p2_1</t>
  </si>
  <si>
    <t>NHK_p2_2</t>
  </si>
  <si>
    <t>NHK_p2_3</t>
  </si>
  <si>
    <t>NHK_p3_1</t>
  </si>
  <si>
    <t>NHK_p3_2</t>
  </si>
  <si>
    <t>NHK_p3_3</t>
  </si>
  <si>
    <t>NHK_p4_1</t>
  </si>
  <si>
    <t>NHK_p4_2</t>
  </si>
  <si>
    <t>NHK_p4_3</t>
  </si>
  <si>
    <t>LRP2_pass-WB</t>
  </si>
  <si>
    <t>p3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</si>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</sst>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workbookViewId="0">
      <selection activeCell="G2" sqref="G2"/>
    </sheetView>
  </sheetViews>
  <sheetFormatPr defaultRowHeight="15" x14ac:dyDescent="0.25"/>
  <cols>
    <col min="1" max="2" width="9.85546875" customWidth="1"/>
    <col min="5" max="5" width="11.7109375" customWidth="1"/>
  </cols>
  <sheetData>
    <row r="1" spans="1:12" x14ac:dyDescent="0.25">
      <c r="A1" t="s">
        <v>3</v>
      </c>
      <c r="B1" t="s">
        <v>8</v>
      </c>
      <c r="C1" t="s">
        <v>20</v>
      </c>
      <c r="D1" t="s">
        <v>21</v>
      </c>
      <c r="E1" t="s">
        <v>23</v>
      </c>
      <c r="F1" t="s">
        <v>22</v>
      </c>
    </row>
    <row r="2" spans="1:12" x14ac:dyDescent="0.25">
      <c r="A2">
        <v>1</v>
      </c>
      <c r="B2" t="s">
        <v>7</v>
      </c>
      <c r="C2">
        <v>0.9207225908115193</v>
      </c>
      <c r="D2">
        <v>2</v>
      </c>
      <c r="E2">
        <v>0.9207225908115193</v>
      </c>
      <c r="F2">
        <v>1</v>
      </c>
    </row>
    <row r="3" spans="1:12" x14ac:dyDescent="0.25">
      <c r="A3">
        <v>2</v>
      </c>
      <c r="B3" t="s">
        <v>7</v>
      </c>
      <c r="C3">
        <v>0.8930625042410989</v>
      </c>
      <c r="D3">
        <v>2</v>
      </c>
      <c r="E3">
        <v>0.8930625042410989</v>
      </c>
      <c r="F3">
        <v>1</v>
      </c>
    </row>
    <row r="4" spans="1:12" x14ac:dyDescent="0.25">
      <c r="A4">
        <v>3</v>
      </c>
      <c r="B4" t="s">
        <v>6</v>
      </c>
      <c r="C4">
        <v>1.0293117040708835</v>
      </c>
      <c r="D4">
        <v>2</v>
      </c>
      <c r="E4">
        <v>1.0293117040708835</v>
      </c>
      <c r="F4">
        <v>1</v>
      </c>
    </row>
    <row r="5" spans="1:12" x14ac:dyDescent="0.25">
      <c r="A5">
        <v>4</v>
      </c>
      <c r="B5" t="s">
        <v>6</v>
      </c>
      <c r="C5">
        <v>0.97948161797701572</v>
      </c>
      <c r="D5">
        <v>2</v>
      </c>
      <c r="E5">
        <v>0.97948161797701572</v>
      </c>
      <c r="F5">
        <v>1</v>
      </c>
    </row>
    <row r="6" spans="1:12" ht="15.75" x14ac:dyDescent="0.25">
      <c r="A6">
        <v>1</v>
      </c>
      <c r="B6" t="s">
        <v>7</v>
      </c>
      <c r="C6">
        <v>1.0056699559364273</v>
      </c>
      <c r="D6">
        <v>10</v>
      </c>
      <c r="E6">
        <v>0.9207225908115193</v>
      </c>
      <c r="F6">
        <v>1.0922616279568376</v>
      </c>
      <c r="L6" s="1"/>
    </row>
    <row r="7" spans="1:12" x14ac:dyDescent="0.25">
      <c r="A7">
        <v>2</v>
      </c>
      <c r="B7" t="s">
        <v>7</v>
      </c>
      <c r="C7">
        <v>0.93875221648350604</v>
      </c>
      <c r="D7">
        <v>10</v>
      </c>
      <c r="E7">
        <v>0.8930625042410989</v>
      </c>
      <c r="F7">
        <v>1.0511607105050649</v>
      </c>
    </row>
    <row r="8" spans="1:12" x14ac:dyDescent="0.25">
      <c r="A8">
        <v>3</v>
      </c>
      <c r="B8" t="s">
        <v>6</v>
      </c>
      <c r="C8">
        <v>1.0418378742935519</v>
      </c>
      <c r="D8">
        <v>10</v>
      </c>
      <c r="E8">
        <v>1.0293117040708835</v>
      </c>
      <c r="F8">
        <v>1.0121694625380513</v>
      </c>
    </row>
    <row r="9" spans="1:12" x14ac:dyDescent="0.25">
      <c r="A9">
        <v>4</v>
      </c>
      <c r="B9" t="s">
        <v>6</v>
      </c>
      <c r="C9">
        <v>1.0239661802461075</v>
      </c>
      <c r="D9">
        <v>10</v>
      </c>
      <c r="E9">
        <v>0.97948161797701572</v>
      </c>
      <c r="F9">
        <v>1.0454164340122774</v>
      </c>
    </row>
    <row r="10" spans="1:12" x14ac:dyDescent="0.25">
      <c r="A10">
        <v>1</v>
      </c>
      <c r="B10" t="s">
        <v>7</v>
      </c>
      <c r="C10">
        <v>0.92620129439340282</v>
      </c>
      <c r="D10">
        <v>30</v>
      </c>
      <c r="E10">
        <v>0.9207225908115193</v>
      </c>
      <c r="F10">
        <v>1.0059504389666976</v>
      </c>
    </row>
    <row r="11" spans="1:12" x14ac:dyDescent="0.25">
      <c r="A11">
        <v>2</v>
      </c>
      <c r="B11" t="s">
        <v>7</v>
      </c>
      <c r="C11">
        <v>1.0167503757712391</v>
      </c>
      <c r="D11">
        <v>30</v>
      </c>
      <c r="E11">
        <v>0.8930625042410989</v>
      </c>
      <c r="F11">
        <v>1.1384985607869036</v>
      </c>
    </row>
    <row r="12" spans="1:12" x14ac:dyDescent="0.25">
      <c r="A12">
        <v>3</v>
      </c>
      <c r="B12" t="s">
        <v>6</v>
      </c>
      <c r="C12">
        <v>1.0776943749333494</v>
      </c>
      <c r="D12">
        <v>30</v>
      </c>
      <c r="E12">
        <v>1.0293117040708835</v>
      </c>
      <c r="F12">
        <v>1.0470048777946608</v>
      </c>
    </row>
    <row r="13" spans="1:12" x14ac:dyDescent="0.25">
      <c r="A13">
        <v>4</v>
      </c>
      <c r="B13" t="s">
        <v>6</v>
      </c>
      <c r="C13">
        <v>0.984049190396038</v>
      </c>
      <c r="D13">
        <v>30</v>
      </c>
      <c r="E13">
        <v>0.97948161797701572</v>
      </c>
      <c r="F13">
        <v>1.0046632548637879</v>
      </c>
    </row>
    <row r="14" spans="1:12" x14ac:dyDescent="0.25">
      <c r="A14">
        <v>1</v>
      </c>
      <c r="B14" t="s">
        <v>7</v>
      </c>
      <c r="C14">
        <v>0.94738677096082791</v>
      </c>
      <c r="D14">
        <v>60</v>
      </c>
      <c r="E14">
        <v>0.9207225908115193</v>
      </c>
      <c r="F14">
        <v>1.0289600585620551</v>
      </c>
    </row>
    <row r="15" spans="1:12" x14ac:dyDescent="0.25">
      <c r="A15">
        <v>2</v>
      </c>
      <c r="B15" t="s">
        <v>7</v>
      </c>
      <c r="C15">
        <v>1.008561818638249</v>
      </c>
      <c r="D15">
        <v>60</v>
      </c>
      <c r="E15">
        <v>0.8930625042410989</v>
      </c>
      <c r="F15">
        <v>1.1293294857287715</v>
      </c>
    </row>
    <row r="16" spans="1:12" x14ac:dyDescent="0.25">
      <c r="A16">
        <v>3</v>
      </c>
      <c r="B16" t="s">
        <v>6</v>
      </c>
      <c r="C16">
        <v>1.0557479943331407</v>
      </c>
      <c r="D16">
        <v>60</v>
      </c>
      <c r="E16">
        <v>1.0293117040708835</v>
      </c>
      <c r="F16">
        <v>1.0256834641612476</v>
      </c>
    </row>
    <row r="17" spans="1:6" x14ac:dyDescent="0.25">
      <c r="A17">
        <v>4</v>
      </c>
      <c r="B17" t="s">
        <v>6</v>
      </c>
      <c r="C17">
        <v>0.99920468818314157</v>
      </c>
      <c r="D17">
        <v>60</v>
      </c>
      <c r="E17">
        <v>0.97948161797701572</v>
      </c>
      <c r="F17">
        <v>1.0201362331299908</v>
      </c>
    </row>
    <row r="18" spans="1:6" x14ac:dyDescent="0.25">
      <c r="A18">
        <v>1</v>
      </c>
      <c r="B18" t="s">
        <v>7</v>
      </c>
      <c r="C18">
        <v>1.0155606584251624</v>
      </c>
      <c r="D18">
        <v>120</v>
      </c>
      <c r="E18">
        <v>0.9207225908115193</v>
      </c>
      <c r="F18">
        <v>1.1030039542421277</v>
      </c>
    </row>
    <row r="19" spans="1:6" x14ac:dyDescent="0.25">
      <c r="A19">
        <v>2</v>
      </c>
      <c r="B19" t="s">
        <v>7</v>
      </c>
      <c r="C19">
        <v>0.99566502718643624</v>
      </c>
      <c r="D19">
        <v>120</v>
      </c>
      <c r="E19">
        <v>0.8930625042410989</v>
      </c>
      <c r="F19">
        <v>1.1148884008208655</v>
      </c>
    </row>
    <row r="20" spans="1:6" x14ac:dyDescent="0.25">
      <c r="A20">
        <v>3</v>
      </c>
      <c r="B20" t="s">
        <v>6</v>
      </c>
      <c r="C20">
        <v>1.0818100414647138</v>
      </c>
      <c r="D20">
        <v>120</v>
      </c>
      <c r="E20">
        <v>1.0293117040708835</v>
      </c>
      <c r="F20">
        <v>1.0510033425115071</v>
      </c>
    </row>
    <row r="21" spans="1:6" x14ac:dyDescent="0.25">
      <c r="A21">
        <v>4</v>
      </c>
      <c r="B21" t="s">
        <v>6</v>
      </c>
      <c r="C21">
        <v>0.9994628954624406</v>
      </c>
      <c r="D21">
        <v>120</v>
      </c>
      <c r="E21">
        <v>0.97948161797701572</v>
      </c>
      <c r="F21">
        <v>1.0203998493883872</v>
      </c>
    </row>
    <row r="22" spans="1:6" x14ac:dyDescent="0.25">
      <c r="A22" t="s">
        <v>0</v>
      </c>
      <c r="B22" t="s">
        <v>1</v>
      </c>
    </row>
    <row r="23" spans="1:6" x14ac:dyDescent="0.25">
      <c r="A23" t="s">
        <v>0</v>
      </c>
      <c r="B23" t="s">
        <v>2</v>
      </c>
    </row>
    <row r="24" spans="1:6" x14ac:dyDescent="0.25">
      <c r="A24" t="s">
        <v>0</v>
      </c>
      <c r="B2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58D0-78EB-4E52-B792-B10679DE7A11}">
  <dimension ref="A1:F76"/>
  <sheetViews>
    <sheetView workbookViewId="0">
      <selection activeCell="B62" sqref="B62:B67"/>
    </sheetView>
  </sheetViews>
  <sheetFormatPr defaultRowHeight="15" x14ac:dyDescent="0.25"/>
  <sheetData>
    <row r="1" spans="1:6" x14ac:dyDescent="0.25">
      <c r="A1" t="s">
        <v>3</v>
      </c>
      <c r="B1" t="s">
        <v>8</v>
      </c>
      <c r="C1" t="s">
        <v>20</v>
      </c>
      <c r="D1" t="s">
        <v>21</v>
      </c>
      <c r="E1" t="s">
        <v>23</v>
      </c>
      <c r="F1" t="s">
        <v>22</v>
      </c>
    </row>
    <row r="2" spans="1:6" x14ac:dyDescent="0.25">
      <c r="A2" t="s">
        <v>5</v>
      </c>
      <c r="B2" t="s">
        <v>7</v>
      </c>
      <c r="C2">
        <v>0.93979678379553566</v>
      </c>
      <c r="D2">
        <v>2</v>
      </c>
      <c r="E2">
        <v>0.93979678379553599</v>
      </c>
      <c r="F2">
        <f>C2/E2</f>
        <v>0.99999999999999967</v>
      </c>
    </row>
    <row r="3" spans="1:6" x14ac:dyDescent="0.25">
      <c r="A3" t="s">
        <v>4</v>
      </c>
      <c r="B3" t="s">
        <v>7</v>
      </c>
      <c r="C3">
        <v>0.89023987129170934</v>
      </c>
      <c r="D3">
        <v>2</v>
      </c>
      <c r="E3">
        <v>0.89023987129170934</v>
      </c>
      <c r="F3">
        <f t="shared" ref="F3:F66" si="0">C3/E3</f>
        <v>1</v>
      </c>
    </row>
    <row r="4" spans="1:6" x14ac:dyDescent="0.25">
      <c r="A4" t="s">
        <v>11</v>
      </c>
      <c r="B4" t="s">
        <v>7</v>
      </c>
      <c r="C4">
        <v>0.99482624723725599</v>
      </c>
      <c r="D4">
        <v>2</v>
      </c>
      <c r="E4">
        <v>0.99482624723725599</v>
      </c>
      <c r="F4">
        <f t="shared" si="0"/>
        <v>1</v>
      </c>
    </row>
    <row r="5" spans="1:6" x14ac:dyDescent="0.25">
      <c r="A5" t="s">
        <v>10</v>
      </c>
      <c r="B5" t="s">
        <v>7</v>
      </c>
      <c r="C5">
        <v>0.81123810375534811</v>
      </c>
      <c r="D5">
        <v>2</v>
      </c>
      <c r="E5">
        <v>0.81123810375534811</v>
      </c>
      <c r="F5">
        <f t="shared" si="0"/>
        <v>1</v>
      </c>
    </row>
    <row r="6" spans="1:6" x14ac:dyDescent="0.25">
      <c r="A6" t="s">
        <v>15</v>
      </c>
      <c r="B6" t="s">
        <v>7</v>
      </c>
      <c r="C6">
        <v>0.99516208455681621</v>
      </c>
      <c r="D6">
        <v>2</v>
      </c>
      <c r="E6">
        <v>0.99516208455681621</v>
      </c>
      <c r="F6">
        <f t="shared" si="0"/>
        <v>1</v>
      </c>
    </row>
    <row r="7" spans="1:6" x14ac:dyDescent="0.25">
      <c r="A7" t="s">
        <v>16</v>
      </c>
      <c r="B7" t="s">
        <v>7</v>
      </c>
      <c r="C7">
        <v>0.9773745453227477</v>
      </c>
      <c r="D7">
        <v>2</v>
      </c>
      <c r="E7">
        <v>0.9773745453227477</v>
      </c>
      <c r="F7">
        <f t="shared" si="0"/>
        <v>1</v>
      </c>
    </row>
    <row r="8" spans="1:6" x14ac:dyDescent="0.25">
      <c r="A8" t="s">
        <v>13</v>
      </c>
      <c r="B8" t="s">
        <v>6</v>
      </c>
      <c r="C8">
        <v>1.0489007770459211</v>
      </c>
      <c r="D8">
        <v>2</v>
      </c>
      <c r="E8">
        <v>1.0489007770459211</v>
      </c>
      <c r="F8">
        <f t="shared" si="0"/>
        <v>1</v>
      </c>
    </row>
    <row r="9" spans="1:6" x14ac:dyDescent="0.25">
      <c r="A9" t="s">
        <v>12</v>
      </c>
      <c r="B9" t="s">
        <v>6</v>
      </c>
      <c r="C9">
        <v>1.0258951581994802</v>
      </c>
      <c r="D9">
        <v>2</v>
      </c>
      <c r="E9">
        <v>1.0258951581994802</v>
      </c>
      <c r="F9">
        <f t="shared" si="0"/>
        <v>1</v>
      </c>
    </row>
    <row r="10" spans="1:6" x14ac:dyDescent="0.25">
      <c r="A10" t="s">
        <v>17</v>
      </c>
      <c r="B10" t="s">
        <v>6</v>
      </c>
      <c r="C10">
        <v>1.0713706762794566</v>
      </c>
      <c r="D10">
        <v>2</v>
      </c>
      <c r="E10">
        <v>1.0713706762794566</v>
      </c>
      <c r="F10">
        <f t="shared" si="0"/>
        <v>1</v>
      </c>
    </row>
    <row r="11" spans="1:6" x14ac:dyDescent="0.25">
      <c r="A11" t="s">
        <v>18</v>
      </c>
      <c r="B11" t="s">
        <v>6</v>
      </c>
      <c r="C11">
        <v>1.0493135482709222</v>
      </c>
      <c r="D11">
        <v>2</v>
      </c>
      <c r="E11">
        <v>1.0493135482709222</v>
      </c>
      <c r="F11">
        <f t="shared" si="0"/>
        <v>1</v>
      </c>
    </row>
    <row r="12" spans="1:6" x14ac:dyDescent="0.25">
      <c r="A12" t="s">
        <v>14</v>
      </c>
      <c r="B12" t="s">
        <v>6</v>
      </c>
      <c r="C12">
        <v>1.0178686877586762</v>
      </c>
      <c r="D12">
        <v>2</v>
      </c>
      <c r="E12">
        <v>1.0178686877586762</v>
      </c>
      <c r="F12">
        <f t="shared" si="0"/>
        <v>1</v>
      </c>
    </row>
    <row r="13" spans="1:6" x14ac:dyDescent="0.25">
      <c r="A13" t="s">
        <v>19</v>
      </c>
      <c r="B13" t="s">
        <v>6</v>
      </c>
      <c r="C13">
        <v>0.95020408658128419</v>
      </c>
      <c r="D13">
        <v>2</v>
      </c>
      <c r="E13">
        <v>0.95020408658128419</v>
      </c>
      <c r="F13">
        <f t="shared" si="0"/>
        <v>1</v>
      </c>
    </row>
    <row r="14" spans="1:6" x14ac:dyDescent="0.25">
      <c r="A14" t="s">
        <v>5</v>
      </c>
      <c r="B14" t="s">
        <v>7</v>
      </c>
      <c r="C14">
        <v>0.96562198774830288</v>
      </c>
      <c r="D14">
        <v>5</v>
      </c>
      <c r="E14">
        <v>0.93979678379553566</v>
      </c>
      <c r="F14">
        <f t="shared" si="0"/>
        <v>1.0274795619628188</v>
      </c>
    </row>
    <row r="15" spans="1:6" x14ac:dyDescent="0.25">
      <c r="A15" t="s">
        <v>4</v>
      </c>
      <c r="B15" t="s">
        <v>7</v>
      </c>
      <c r="C15">
        <v>1.0292442884074708</v>
      </c>
      <c r="D15">
        <v>5</v>
      </c>
      <c r="E15">
        <v>0.89023987129170934</v>
      </c>
      <c r="F15">
        <f t="shared" si="0"/>
        <v>1.1561426550285494</v>
      </c>
    </row>
    <row r="16" spans="1:6" x14ac:dyDescent="0.25">
      <c r="A16" t="s">
        <v>11</v>
      </c>
      <c r="B16" t="s">
        <v>7</v>
      </c>
      <c r="C16">
        <v>1.0030621778733466</v>
      </c>
      <c r="D16">
        <v>5</v>
      </c>
      <c r="E16">
        <v>0.99482624723725599</v>
      </c>
      <c r="F16">
        <f t="shared" si="0"/>
        <v>1.008278762908561</v>
      </c>
    </row>
    <row r="17" spans="1:6" x14ac:dyDescent="0.25">
      <c r="A17" t="s">
        <v>10</v>
      </c>
      <c r="B17" t="s">
        <v>7</v>
      </c>
      <c r="C17">
        <v>1.0150475509326187</v>
      </c>
      <c r="D17">
        <v>5</v>
      </c>
      <c r="E17">
        <v>0.81123810375534811</v>
      </c>
      <c r="F17">
        <f t="shared" si="0"/>
        <v>1.2512325866275325</v>
      </c>
    </row>
    <row r="18" spans="1:6" x14ac:dyDescent="0.25">
      <c r="A18" t="s">
        <v>15</v>
      </c>
      <c r="B18" t="s">
        <v>7</v>
      </c>
      <c r="C18">
        <v>1.0011836854718406</v>
      </c>
      <c r="D18">
        <v>5</v>
      </c>
      <c r="E18">
        <v>0.99516208455681621</v>
      </c>
      <c r="F18">
        <f t="shared" si="0"/>
        <v>1.006050874534379</v>
      </c>
    </row>
    <row r="19" spans="1:6" x14ac:dyDescent="0.25">
      <c r="A19" t="s">
        <v>16</v>
      </c>
      <c r="B19" t="s">
        <v>7</v>
      </c>
      <c r="C19">
        <v>1.0056421016186179</v>
      </c>
      <c r="D19">
        <v>5</v>
      </c>
      <c r="E19">
        <v>0.9773745453227477</v>
      </c>
      <c r="F19">
        <f t="shared" si="0"/>
        <v>1.0289219280685642</v>
      </c>
    </row>
    <row r="20" spans="1:6" x14ac:dyDescent="0.25">
      <c r="A20" t="s">
        <v>13</v>
      </c>
      <c r="B20" t="s">
        <v>6</v>
      </c>
      <c r="C20">
        <v>1.0227800962074993</v>
      </c>
      <c r="D20">
        <v>5</v>
      </c>
      <c r="E20">
        <v>1.0489007770459211</v>
      </c>
      <c r="F20">
        <f t="shared" si="0"/>
        <v>0.97509709077346007</v>
      </c>
    </row>
    <row r="21" spans="1:6" x14ac:dyDescent="0.25">
      <c r="A21" t="s">
        <v>12</v>
      </c>
      <c r="B21" t="s">
        <v>6</v>
      </c>
      <c r="C21">
        <v>1.0769321540811883</v>
      </c>
      <c r="D21">
        <v>5</v>
      </c>
      <c r="E21">
        <v>1.0258951581994802</v>
      </c>
      <c r="F21">
        <f t="shared" si="0"/>
        <v>1.0497487442783935</v>
      </c>
    </row>
    <row r="22" spans="1:6" x14ac:dyDescent="0.25">
      <c r="A22" t="s">
        <v>17</v>
      </c>
      <c r="B22" t="s">
        <v>6</v>
      </c>
      <c r="C22">
        <v>1.0275317698852477</v>
      </c>
      <c r="D22">
        <v>5</v>
      </c>
      <c r="E22">
        <v>1.0713706762794566</v>
      </c>
      <c r="F22">
        <f t="shared" si="0"/>
        <v>0.95908147631364338</v>
      </c>
    </row>
    <row r="23" spans="1:6" x14ac:dyDescent="0.25">
      <c r="A23" t="s">
        <v>18</v>
      </c>
      <c r="B23" t="s">
        <v>6</v>
      </c>
      <c r="C23">
        <v>1.069025882113819</v>
      </c>
      <c r="D23">
        <v>5</v>
      </c>
      <c r="E23">
        <v>1.0493135482709222</v>
      </c>
      <c r="F23">
        <f t="shared" si="0"/>
        <v>1.0187859328371192</v>
      </c>
    </row>
    <row r="24" spans="1:6" x14ac:dyDescent="0.25">
      <c r="A24" t="s">
        <v>14</v>
      </c>
      <c r="B24" t="s">
        <v>6</v>
      </c>
      <c r="C24">
        <v>1.0643706369370336</v>
      </c>
      <c r="D24">
        <v>5</v>
      </c>
      <c r="E24">
        <v>1.0178686877586762</v>
      </c>
      <c r="F24">
        <f t="shared" si="0"/>
        <v>1.0456856073259839</v>
      </c>
    </row>
    <row r="25" spans="1:6" x14ac:dyDescent="0.25">
      <c r="A25" t="s">
        <v>19</v>
      </c>
      <c r="B25" t="s">
        <v>6</v>
      </c>
      <c r="C25">
        <v>1.0190612268972921</v>
      </c>
      <c r="D25">
        <v>5</v>
      </c>
      <c r="E25">
        <v>0.95020408658128419</v>
      </c>
      <c r="F25">
        <f t="shared" si="0"/>
        <v>1.0724656326871287</v>
      </c>
    </row>
    <row r="26" spans="1:6" x14ac:dyDescent="0.25">
      <c r="A26" t="s">
        <v>5</v>
      </c>
      <c r="B26" t="s">
        <v>7</v>
      </c>
      <c r="C26">
        <v>0.93922940774367702</v>
      </c>
      <c r="D26">
        <v>10</v>
      </c>
      <c r="E26">
        <v>0.93979678379553566</v>
      </c>
      <c r="F26">
        <f t="shared" si="0"/>
        <v>0.99939627793833552</v>
      </c>
    </row>
    <row r="27" spans="1:6" x14ac:dyDescent="0.25">
      <c r="A27" t="s">
        <v>4</v>
      </c>
      <c r="B27" t="s">
        <v>7</v>
      </c>
      <c r="C27">
        <v>0.95665330948765925</v>
      </c>
      <c r="D27">
        <v>10</v>
      </c>
      <c r="E27">
        <v>0.89023987129170934</v>
      </c>
      <c r="F27">
        <f t="shared" si="0"/>
        <v>1.0746017341366503</v>
      </c>
    </row>
    <row r="28" spans="1:6" x14ac:dyDescent="0.25">
      <c r="A28" t="s">
        <v>11</v>
      </c>
      <c r="B28" t="s">
        <v>7</v>
      </c>
      <c r="C28">
        <v>0.91356361003215447</v>
      </c>
      <c r="D28">
        <v>10</v>
      </c>
      <c r="E28">
        <v>0.99482624723725599</v>
      </c>
      <c r="F28">
        <f t="shared" si="0"/>
        <v>0.9183147434732678</v>
      </c>
    </row>
    <row r="29" spans="1:6" x14ac:dyDescent="0.25">
      <c r="A29" t="s">
        <v>10</v>
      </c>
      <c r="B29" t="s">
        <v>7</v>
      </c>
      <c r="C29">
        <v>0.91620674559477255</v>
      </c>
      <c r="D29">
        <v>10</v>
      </c>
      <c r="E29">
        <v>0.81123810375534811</v>
      </c>
      <c r="F29">
        <f t="shared" si="0"/>
        <v>1.1293931354475439</v>
      </c>
    </row>
    <row r="30" spans="1:6" x14ac:dyDescent="0.25">
      <c r="A30" t="s">
        <v>15</v>
      </c>
      <c r="B30" t="s">
        <v>7</v>
      </c>
      <c r="C30">
        <v>0.98367658925819013</v>
      </c>
      <c r="D30">
        <v>10</v>
      </c>
      <c r="E30">
        <v>0.99516208455681621</v>
      </c>
      <c r="F30">
        <f t="shared" si="0"/>
        <v>0.98845866871652266</v>
      </c>
    </row>
    <row r="31" spans="1:6" x14ac:dyDescent="0.25">
      <c r="A31" t="s">
        <v>16</v>
      </c>
      <c r="B31" t="s">
        <v>7</v>
      </c>
      <c r="C31">
        <v>1.0424431955466225</v>
      </c>
      <c r="D31">
        <v>10</v>
      </c>
      <c r="E31">
        <v>0.9773745453227477</v>
      </c>
      <c r="F31">
        <f t="shared" si="0"/>
        <v>1.0665749384770276</v>
      </c>
    </row>
    <row r="32" spans="1:6" x14ac:dyDescent="0.25">
      <c r="A32" t="s">
        <v>13</v>
      </c>
      <c r="B32" t="s">
        <v>6</v>
      </c>
      <c r="C32">
        <v>1.005352013928259</v>
      </c>
      <c r="D32">
        <v>10</v>
      </c>
      <c r="E32">
        <v>1.0489007770459211</v>
      </c>
      <c r="F32">
        <f t="shared" si="0"/>
        <v>0.9584815226848139</v>
      </c>
    </row>
    <row r="33" spans="1:6" x14ac:dyDescent="0.25">
      <c r="A33" t="s">
        <v>12</v>
      </c>
      <c r="B33" t="s">
        <v>6</v>
      </c>
      <c r="C33">
        <v>0.98282748720091828</v>
      </c>
      <c r="D33">
        <v>10</v>
      </c>
      <c r="E33">
        <v>1.0258951581994802</v>
      </c>
      <c r="F33">
        <f t="shared" si="0"/>
        <v>0.95801942269213092</v>
      </c>
    </row>
    <row r="34" spans="1:6" x14ac:dyDescent="0.25">
      <c r="A34" t="s">
        <v>17</v>
      </c>
      <c r="B34" t="s">
        <v>6</v>
      </c>
      <c r="C34">
        <v>1.0082720604556532</v>
      </c>
      <c r="D34">
        <v>10</v>
      </c>
      <c r="E34">
        <v>1.0713706762794566</v>
      </c>
      <c r="F34">
        <f t="shared" si="0"/>
        <v>0.94110477613320009</v>
      </c>
    </row>
    <row r="35" spans="1:6" x14ac:dyDescent="0.25">
      <c r="A35" t="s">
        <v>18</v>
      </c>
      <c r="B35" t="s">
        <v>6</v>
      </c>
      <c r="C35">
        <v>1.0167460744044778</v>
      </c>
      <c r="D35">
        <v>10</v>
      </c>
      <c r="E35">
        <v>1.0493135482709222</v>
      </c>
      <c r="F35">
        <f t="shared" si="0"/>
        <v>0.96896306740715432</v>
      </c>
    </row>
    <row r="36" spans="1:6" x14ac:dyDescent="0.25">
      <c r="A36" t="s">
        <v>14</v>
      </c>
      <c r="B36" t="s">
        <v>6</v>
      </c>
      <c r="C36">
        <v>1.0151460890254427</v>
      </c>
      <c r="D36">
        <v>10</v>
      </c>
      <c r="E36">
        <v>1.0178686877586762</v>
      </c>
      <c r="F36">
        <f t="shared" si="0"/>
        <v>0.99732519649540585</v>
      </c>
    </row>
    <row r="37" spans="1:6" x14ac:dyDescent="0.25">
      <c r="A37" t="s">
        <v>19</v>
      </c>
      <c r="B37" t="s">
        <v>6</v>
      </c>
      <c r="C37">
        <v>1.0625191430141312</v>
      </c>
      <c r="D37">
        <v>10</v>
      </c>
      <c r="E37">
        <v>0.95020408658128419</v>
      </c>
      <c r="F37">
        <f t="shared" si="0"/>
        <v>1.1182009823141705</v>
      </c>
    </row>
    <row r="38" spans="1:6" x14ac:dyDescent="0.25">
      <c r="A38" t="s">
        <v>5</v>
      </c>
      <c r="B38" t="s">
        <v>7</v>
      </c>
      <c r="C38">
        <v>0.92361976905790433</v>
      </c>
      <c r="D38">
        <v>15</v>
      </c>
      <c r="E38">
        <v>0.93979678379553566</v>
      </c>
      <c r="F38">
        <f t="shared" si="0"/>
        <v>0.98278668855164875</v>
      </c>
    </row>
    <row r="39" spans="1:6" x14ac:dyDescent="0.25">
      <c r="A39" t="s">
        <v>4</v>
      </c>
      <c r="B39" t="s">
        <v>7</v>
      </c>
      <c r="C39">
        <v>1.0002240989342635</v>
      </c>
      <c r="D39">
        <v>15</v>
      </c>
      <c r="E39">
        <v>0.89023987129170934</v>
      </c>
      <c r="F39">
        <f t="shared" si="0"/>
        <v>1.1235444863674444</v>
      </c>
    </row>
    <row r="40" spans="1:6" x14ac:dyDescent="0.25">
      <c r="A40" t="s">
        <v>11</v>
      </c>
      <c r="B40" t="s">
        <v>7</v>
      </c>
      <c r="C40">
        <v>0.99239728737895805</v>
      </c>
      <c r="D40">
        <v>15</v>
      </c>
      <c r="E40">
        <v>0.99482624723725599</v>
      </c>
      <c r="F40">
        <f t="shared" si="0"/>
        <v>0.99755840794807793</v>
      </c>
    </row>
    <row r="41" spans="1:6" x14ac:dyDescent="0.25">
      <c r="A41" t="s">
        <v>10</v>
      </c>
      <c r="B41" t="s">
        <v>7</v>
      </c>
      <c r="C41">
        <v>1.0103663993959584</v>
      </c>
      <c r="D41">
        <v>15</v>
      </c>
      <c r="E41">
        <v>0.81123810375534811</v>
      </c>
      <c r="F41">
        <f t="shared" si="0"/>
        <v>1.245462207357882</v>
      </c>
    </row>
    <row r="42" spans="1:6" x14ac:dyDescent="0.25">
      <c r="A42" t="s">
        <v>15</v>
      </c>
      <c r="B42" t="s">
        <v>7</v>
      </c>
      <c r="C42">
        <v>0.97933941700377392</v>
      </c>
      <c r="D42">
        <v>15</v>
      </c>
      <c r="E42">
        <v>0.99516208455681621</v>
      </c>
      <c r="F42">
        <f t="shared" si="0"/>
        <v>0.98410041158261297</v>
      </c>
    </row>
    <row r="43" spans="1:6" x14ac:dyDescent="0.25">
      <c r="A43" t="s">
        <v>16</v>
      </c>
      <c r="B43" t="s">
        <v>7</v>
      </c>
      <c r="C43">
        <v>1.0738498345622634</v>
      </c>
      <c r="D43">
        <v>15</v>
      </c>
      <c r="E43">
        <v>0.9773745453227477</v>
      </c>
      <c r="F43">
        <f t="shared" si="0"/>
        <v>1.0987086165699738</v>
      </c>
    </row>
    <row r="44" spans="1:6" x14ac:dyDescent="0.25">
      <c r="A44" t="s">
        <v>13</v>
      </c>
      <c r="B44" t="s">
        <v>6</v>
      </c>
      <c r="C44">
        <v>1.060737569743869</v>
      </c>
      <c r="D44">
        <v>15</v>
      </c>
      <c r="E44">
        <v>1.0489007770459211</v>
      </c>
      <c r="F44">
        <f t="shared" si="0"/>
        <v>1.0112849498798966</v>
      </c>
    </row>
    <row r="45" spans="1:6" x14ac:dyDescent="0.25">
      <c r="A45" t="s">
        <v>12</v>
      </c>
      <c r="B45" t="s">
        <v>6</v>
      </c>
      <c r="C45">
        <v>1.0361043852415555</v>
      </c>
      <c r="D45">
        <v>15</v>
      </c>
      <c r="E45">
        <v>1.0258951581994802</v>
      </c>
      <c r="F45">
        <f t="shared" si="0"/>
        <v>1.009951530583294</v>
      </c>
    </row>
    <row r="46" spans="1:6" x14ac:dyDescent="0.25">
      <c r="A46" t="s">
        <v>17</v>
      </c>
      <c r="B46" t="s">
        <v>6</v>
      </c>
      <c r="C46">
        <v>1.0311487325039617</v>
      </c>
      <c r="D46">
        <v>15</v>
      </c>
      <c r="E46">
        <v>1.0713706762794566</v>
      </c>
      <c r="F46">
        <f t="shared" si="0"/>
        <v>0.96245749051563234</v>
      </c>
    </row>
    <row r="47" spans="1:6" x14ac:dyDescent="0.25">
      <c r="A47" t="s">
        <v>18</v>
      </c>
      <c r="B47" t="s">
        <v>6</v>
      </c>
      <c r="C47">
        <v>1.0416594203528191</v>
      </c>
      <c r="D47">
        <v>15</v>
      </c>
      <c r="E47">
        <v>1.0493135482709222</v>
      </c>
      <c r="F47">
        <f t="shared" si="0"/>
        <v>0.99270558554140875</v>
      </c>
    </row>
    <row r="48" spans="1:6" x14ac:dyDescent="0.25">
      <c r="A48" t="s">
        <v>14</v>
      </c>
      <c r="B48" t="s">
        <v>6</v>
      </c>
      <c r="C48">
        <v>1.0070737634627502</v>
      </c>
      <c r="D48">
        <v>15</v>
      </c>
      <c r="E48">
        <v>1.0178686877586762</v>
      </c>
      <c r="F48">
        <f t="shared" si="0"/>
        <v>0.98939458063132268</v>
      </c>
    </row>
    <row r="49" spans="1:6" x14ac:dyDescent="0.25">
      <c r="A49" t="s">
        <v>19</v>
      </c>
      <c r="B49" t="s">
        <v>6</v>
      </c>
      <c r="C49">
        <v>1.0541557365559888</v>
      </c>
      <c r="D49">
        <v>15</v>
      </c>
      <c r="E49">
        <v>0.95020408658128419</v>
      </c>
      <c r="F49">
        <f t="shared" si="0"/>
        <v>1.109399287419095</v>
      </c>
    </row>
    <row r="50" spans="1:6" x14ac:dyDescent="0.25">
      <c r="A50" t="s">
        <v>5</v>
      </c>
      <c r="B50" t="s">
        <v>7</v>
      </c>
      <c r="C50">
        <v>1.0048010516100498</v>
      </c>
      <c r="D50">
        <v>20</v>
      </c>
      <c r="E50">
        <v>0.93979678379553566</v>
      </c>
      <c r="F50">
        <f t="shared" si="0"/>
        <v>1.0691684297449742</v>
      </c>
    </row>
    <row r="51" spans="1:6" x14ac:dyDescent="0.25">
      <c r="A51" t="s">
        <v>4</v>
      </c>
      <c r="B51" t="s">
        <v>7</v>
      </c>
      <c r="C51">
        <v>1.1220801431849623</v>
      </c>
      <c r="D51">
        <v>20</v>
      </c>
      <c r="E51">
        <v>0.89023987129170934</v>
      </c>
      <c r="F51">
        <f t="shared" si="0"/>
        <v>1.2604244983510571</v>
      </c>
    </row>
    <row r="52" spans="1:6" x14ac:dyDescent="0.25">
      <c r="A52" t="s">
        <v>11</v>
      </c>
      <c r="B52" t="s">
        <v>7</v>
      </c>
      <c r="C52">
        <v>1.0283246709147558</v>
      </c>
      <c r="D52">
        <v>20</v>
      </c>
      <c r="E52">
        <v>0.99482624723725599</v>
      </c>
      <c r="F52">
        <f t="shared" si="0"/>
        <v>1.033672637579204</v>
      </c>
    </row>
    <row r="53" spans="1:6" x14ac:dyDescent="0.25">
      <c r="A53" t="s">
        <v>10</v>
      </c>
      <c r="B53" t="s">
        <v>7</v>
      </c>
      <c r="C53">
        <v>1.0442023270546252</v>
      </c>
      <c r="D53">
        <v>20</v>
      </c>
      <c r="E53">
        <v>0.81123810375534811</v>
      </c>
      <c r="F53">
        <f t="shared" si="0"/>
        <v>1.2871712043860482</v>
      </c>
    </row>
    <row r="54" spans="1:6" x14ac:dyDescent="0.25">
      <c r="A54" t="s">
        <v>15</v>
      </c>
      <c r="B54" t="s">
        <v>7</v>
      </c>
      <c r="C54">
        <v>1.0378830431653023</v>
      </c>
      <c r="D54">
        <v>20</v>
      </c>
      <c r="E54">
        <v>0.99516208455681621</v>
      </c>
      <c r="F54">
        <f t="shared" si="0"/>
        <v>1.0429286437570735</v>
      </c>
    </row>
    <row r="55" spans="1:6" x14ac:dyDescent="0.25">
      <c r="A55" t="s">
        <v>16</v>
      </c>
      <c r="B55" t="s">
        <v>7</v>
      </c>
      <c r="C55">
        <v>1.0120666222115713</v>
      </c>
      <c r="D55">
        <v>20</v>
      </c>
      <c r="E55">
        <v>0.9773745453227477</v>
      </c>
      <c r="F55">
        <f t="shared" si="0"/>
        <v>1.0354951712778315</v>
      </c>
    </row>
    <row r="56" spans="1:6" x14ac:dyDescent="0.25">
      <c r="A56" t="s">
        <v>13</v>
      </c>
      <c r="B56" t="s">
        <v>6</v>
      </c>
      <c r="C56">
        <v>1.0487998338859799</v>
      </c>
      <c r="D56">
        <v>20</v>
      </c>
      <c r="E56">
        <v>1.0489007770459211</v>
      </c>
      <c r="F56">
        <f t="shared" si="0"/>
        <v>0.99990376290860838</v>
      </c>
    </row>
    <row r="57" spans="1:6" x14ac:dyDescent="0.25">
      <c r="A57" t="s">
        <v>12</v>
      </c>
      <c r="B57" t="s">
        <v>6</v>
      </c>
      <c r="C57">
        <v>0.98865462743567567</v>
      </c>
      <c r="D57">
        <v>20</v>
      </c>
      <c r="E57">
        <v>1.0258951581994802</v>
      </c>
      <c r="F57">
        <f t="shared" si="0"/>
        <v>0.96369947702144898</v>
      </c>
    </row>
    <row r="58" spans="1:6" x14ac:dyDescent="0.25">
      <c r="A58" t="s">
        <v>17</v>
      </c>
      <c r="B58" t="s">
        <v>6</v>
      </c>
      <c r="C58">
        <v>1.0250781776444364</v>
      </c>
      <c r="D58">
        <v>20</v>
      </c>
      <c r="E58">
        <v>1.0713706762794566</v>
      </c>
      <c r="F58">
        <f t="shared" si="0"/>
        <v>0.95679133313991771</v>
      </c>
    </row>
    <row r="59" spans="1:6" x14ac:dyDescent="0.25">
      <c r="A59" t="s">
        <v>18</v>
      </c>
      <c r="B59" t="s">
        <v>6</v>
      </c>
      <c r="C59">
        <v>1.03188304900353</v>
      </c>
      <c r="D59">
        <v>20</v>
      </c>
      <c r="E59">
        <v>1.0493135482709222</v>
      </c>
      <c r="F59">
        <f t="shared" si="0"/>
        <v>0.98338866462163343</v>
      </c>
    </row>
    <row r="60" spans="1:6" x14ac:dyDescent="0.25">
      <c r="A60" t="s">
        <v>14</v>
      </c>
      <c r="B60" t="s">
        <v>6</v>
      </c>
      <c r="C60">
        <v>1.0087479374932442</v>
      </c>
      <c r="D60">
        <v>20</v>
      </c>
      <c r="E60">
        <v>1.0178686877586762</v>
      </c>
      <c r="F60">
        <f t="shared" si="0"/>
        <v>0.99103936453186736</v>
      </c>
    </row>
    <row r="61" spans="1:6" x14ac:dyDescent="0.25">
      <c r="A61" t="s">
        <v>19</v>
      </c>
      <c r="B61" t="s">
        <v>6</v>
      </c>
      <c r="C61">
        <v>1.0550379638380281</v>
      </c>
      <c r="D61">
        <v>20</v>
      </c>
      <c r="E61">
        <v>0.95020408658128419</v>
      </c>
      <c r="F61">
        <f t="shared" si="0"/>
        <v>1.1103277482566121</v>
      </c>
    </row>
    <row r="62" spans="1:6" x14ac:dyDescent="0.25">
      <c r="A62" t="s">
        <v>5</v>
      </c>
      <c r="B62" t="s">
        <v>7</v>
      </c>
      <c r="C62">
        <v>0.93556470201974939</v>
      </c>
      <c r="D62">
        <v>25</v>
      </c>
      <c r="E62">
        <v>0.93979678379553566</v>
      </c>
      <c r="F62">
        <f t="shared" si="0"/>
        <v>0.99549681181213001</v>
      </c>
    </row>
    <row r="63" spans="1:6" x14ac:dyDescent="0.25">
      <c r="A63" t="s">
        <v>4</v>
      </c>
      <c r="B63" t="s">
        <v>7</v>
      </c>
      <c r="C63">
        <v>0.97509398608919107</v>
      </c>
      <c r="D63">
        <v>25</v>
      </c>
      <c r="E63">
        <v>0.89023987129170934</v>
      </c>
      <c r="F63">
        <f t="shared" si="0"/>
        <v>1.0953160126094568</v>
      </c>
    </row>
    <row r="64" spans="1:6" x14ac:dyDescent="0.25">
      <c r="A64" t="s">
        <v>11</v>
      </c>
      <c r="B64" t="s">
        <v>7</v>
      </c>
      <c r="C64">
        <v>1.0100733264426602</v>
      </c>
      <c r="D64">
        <v>25</v>
      </c>
      <c r="E64">
        <v>0.99482624723725599</v>
      </c>
      <c r="F64">
        <f t="shared" si="0"/>
        <v>1.0153263740756209</v>
      </c>
    </row>
    <row r="65" spans="1:6" x14ac:dyDescent="0.25">
      <c r="A65" t="s">
        <v>10</v>
      </c>
      <c r="B65" t="s">
        <v>7</v>
      </c>
      <c r="C65">
        <v>1.039879731197938</v>
      </c>
      <c r="D65">
        <v>25</v>
      </c>
      <c r="E65">
        <v>0.81123810375534811</v>
      </c>
      <c r="F65">
        <f t="shared" si="0"/>
        <v>1.2818428108642481</v>
      </c>
    </row>
    <row r="66" spans="1:6" x14ac:dyDescent="0.25">
      <c r="A66" t="s">
        <v>15</v>
      </c>
      <c r="B66" t="s">
        <v>7</v>
      </c>
      <c r="C66">
        <v>0.98095345577811688</v>
      </c>
      <c r="D66">
        <v>25</v>
      </c>
      <c r="E66">
        <v>0.99516208455681621</v>
      </c>
      <c r="F66">
        <f t="shared" si="0"/>
        <v>0.98572229690098478</v>
      </c>
    </row>
    <row r="67" spans="1:6" x14ac:dyDescent="0.25">
      <c r="A67" t="s">
        <v>16</v>
      </c>
      <c r="B67" t="s">
        <v>7</v>
      </c>
      <c r="C67">
        <v>1.0170303838668353</v>
      </c>
      <c r="D67">
        <v>25</v>
      </c>
      <c r="E67">
        <v>0.9773745453227477</v>
      </c>
      <c r="F67">
        <f t="shared" ref="F67:F73" si="1">C67/E67</f>
        <v>1.040573840124916</v>
      </c>
    </row>
    <row r="68" spans="1:6" x14ac:dyDescent="0.25">
      <c r="A68" t="s">
        <v>13</v>
      </c>
      <c r="B68" t="s">
        <v>6</v>
      </c>
      <c r="C68">
        <v>1.0583449315125193</v>
      </c>
      <c r="D68">
        <v>25</v>
      </c>
      <c r="E68">
        <v>1.0489007770459211</v>
      </c>
      <c r="F68">
        <f t="shared" si="1"/>
        <v>1.0090038587760382</v>
      </c>
    </row>
    <row r="69" spans="1:6" x14ac:dyDescent="0.25">
      <c r="A69" t="s">
        <v>12</v>
      </c>
      <c r="B69" t="s">
        <v>6</v>
      </c>
      <c r="C69">
        <v>1.0521426009395753</v>
      </c>
      <c r="D69">
        <v>25</v>
      </c>
      <c r="E69">
        <v>1.0258951581994802</v>
      </c>
      <c r="F69">
        <f t="shared" si="1"/>
        <v>1.0255849172601237</v>
      </c>
    </row>
    <row r="70" spans="1:6" x14ac:dyDescent="0.25">
      <c r="A70" t="s">
        <v>17</v>
      </c>
      <c r="B70" t="s">
        <v>6</v>
      </c>
      <c r="C70">
        <v>1.0628944832321343</v>
      </c>
      <c r="D70">
        <v>25</v>
      </c>
      <c r="E70">
        <v>1.0713706762794566</v>
      </c>
      <c r="F70">
        <f t="shared" si="1"/>
        <v>0.99208845898530884</v>
      </c>
    </row>
    <row r="71" spans="1:6" x14ac:dyDescent="0.25">
      <c r="A71" t="s">
        <v>18</v>
      </c>
      <c r="B71" t="s">
        <v>6</v>
      </c>
      <c r="C71">
        <v>1.0655426431976014</v>
      </c>
      <c r="D71">
        <v>25</v>
      </c>
      <c r="E71">
        <v>1.0493135482709222</v>
      </c>
      <c r="F71">
        <f t="shared" si="1"/>
        <v>1.0154663922460754</v>
      </c>
    </row>
    <row r="72" spans="1:6" x14ac:dyDescent="0.25">
      <c r="A72" t="s">
        <v>14</v>
      </c>
      <c r="B72" t="s">
        <v>6</v>
      </c>
      <c r="C72">
        <v>1.0303981404898539</v>
      </c>
      <c r="D72">
        <v>25</v>
      </c>
      <c r="E72">
        <v>1.0178686877586762</v>
      </c>
      <c r="F72">
        <f t="shared" si="1"/>
        <v>1.0123094981522294</v>
      </c>
    </row>
    <row r="73" spans="1:6" x14ac:dyDescent="0.25">
      <c r="A73" t="s">
        <v>19</v>
      </c>
      <c r="B73" t="s">
        <v>6</v>
      </c>
      <c r="C73">
        <v>1.0161171249393817</v>
      </c>
      <c r="D73">
        <v>25</v>
      </c>
      <c r="E73">
        <v>0.95020408658128419</v>
      </c>
      <c r="F73">
        <f t="shared" si="1"/>
        <v>1.0693672436152579</v>
      </c>
    </row>
    <row r="74" spans="1:6" x14ac:dyDescent="0.25">
      <c r="A74" t="s">
        <v>0</v>
      </c>
      <c r="B74" t="s">
        <v>1</v>
      </c>
    </row>
    <row r="75" spans="1:6" x14ac:dyDescent="0.25">
      <c r="A75" t="s">
        <v>0</v>
      </c>
      <c r="B75" t="s">
        <v>2</v>
      </c>
    </row>
    <row r="76" spans="1:6" x14ac:dyDescent="0.25">
      <c r="A76" t="s">
        <v>0</v>
      </c>
      <c r="B76" t="s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1140-DCF2-40F1-8E17-DD08ED486B65}">
  <dimension ref="A1:F319"/>
  <sheetViews>
    <sheetView workbookViewId="0">
      <selection activeCell="G1" sqref="G1:H1048576"/>
    </sheetView>
  </sheetViews>
  <sheetFormatPr defaultColWidth="10.140625" defaultRowHeight="15" x14ac:dyDescent="0.25"/>
  <cols>
    <col min="2" max="2" width="13.85546875" customWidth="1"/>
    <col min="5" max="5" width="16.140625" customWidth="1"/>
  </cols>
  <sheetData>
    <row r="1" spans="1:6" x14ac:dyDescent="0.25">
      <c r="A1" t="s">
        <v>3</v>
      </c>
      <c r="B1" t="s">
        <v>8</v>
      </c>
      <c r="C1" t="s">
        <v>20</v>
      </c>
      <c r="D1" t="s">
        <v>21</v>
      </c>
      <c r="E1" t="s">
        <v>23</v>
      </c>
      <c r="F1" t="s">
        <v>22</v>
      </c>
    </row>
    <row r="2" spans="1:6" x14ac:dyDescent="0.25">
      <c r="A2" t="s">
        <v>34</v>
      </c>
      <c r="B2" t="s">
        <v>61</v>
      </c>
      <c r="C2">
        <v>2303991</v>
      </c>
      <c r="D2">
        <v>2</v>
      </c>
      <c r="E2">
        <v>2303991</v>
      </c>
      <c r="F2">
        <f>C2/E2</f>
        <v>1</v>
      </c>
    </row>
    <row r="3" spans="1:6" x14ac:dyDescent="0.25">
      <c r="A3" t="s">
        <v>35</v>
      </c>
      <c r="B3" t="s">
        <v>61</v>
      </c>
      <c r="C3">
        <v>2316540</v>
      </c>
      <c r="D3">
        <v>2</v>
      </c>
      <c r="E3">
        <v>2316540</v>
      </c>
      <c r="F3">
        <f t="shared" ref="F3:F66" si="0">C3/E3</f>
        <v>1</v>
      </c>
    </row>
    <row r="4" spans="1:6" x14ac:dyDescent="0.25">
      <c r="A4" t="s">
        <v>36</v>
      </c>
      <c r="B4" t="s">
        <v>61</v>
      </c>
      <c r="C4">
        <v>2324736</v>
      </c>
      <c r="D4">
        <v>2</v>
      </c>
      <c r="E4">
        <v>2324736</v>
      </c>
      <c r="F4">
        <f t="shared" si="0"/>
        <v>1</v>
      </c>
    </row>
    <row r="5" spans="1:6" x14ac:dyDescent="0.25">
      <c r="A5" t="s">
        <v>37</v>
      </c>
      <c r="B5" t="s">
        <v>61</v>
      </c>
      <c r="C5">
        <v>2312815</v>
      </c>
      <c r="D5">
        <v>2</v>
      </c>
      <c r="E5">
        <v>2312815</v>
      </c>
      <c r="F5">
        <f t="shared" si="0"/>
        <v>1</v>
      </c>
    </row>
    <row r="6" spans="1:6" x14ac:dyDescent="0.25">
      <c r="A6" t="s">
        <v>38</v>
      </c>
      <c r="B6" t="s">
        <v>61</v>
      </c>
      <c r="C6">
        <v>2324780</v>
      </c>
      <c r="D6">
        <v>2</v>
      </c>
      <c r="E6">
        <v>2324780</v>
      </c>
      <c r="F6">
        <f t="shared" si="0"/>
        <v>1</v>
      </c>
    </row>
    <row r="7" spans="1:6" x14ac:dyDescent="0.25">
      <c r="A7" t="s">
        <v>34</v>
      </c>
      <c r="B7" t="s">
        <v>61</v>
      </c>
      <c r="C7">
        <v>2270609</v>
      </c>
      <c r="D7">
        <v>10</v>
      </c>
      <c r="E7">
        <v>2303991</v>
      </c>
      <c r="F7">
        <f t="shared" si="0"/>
        <v>0.98551122812545711</v>
      </c>
    </row>
    <row r="8" spans="1:6" x14ac:dyDescent="0.25">
      <c r="A8" t="s">
        <v>35</v>
      </c>
      <c r="B8" t="s">
        <v>61</v>
      </c>
      <c r="C8">
        <v>2270036</v>
      </c>
      <c r="D8">
        <v>10</v>
      </c>
      <c r="E8">
        <v>2316540</v>
      </c>
      <c r="F8">
        <f t="shared" si="0"/>
        <v>0.97992523332210968</v>
      </c>
    </row>
    <row r="9" spans="1:6" x14ac:dyDescent="0.25">
      <c r="A9" t="s">
        <v>36</v>
      </c>
      <c r="B9" t="s">
        <v>61</v>
      </c>
      <c r="C9">
        <v>2289906</v>
      </c>
      <c r="D9">
        <v>10</v>
      </c>
      <c r="E9">
        <v>2324736</v>
      </c>
      <c r="F9">
        <f t="shared" si="0"/>
        <v>0.98501765361744298</v>
      </c>
    </row>
    <row r="10" spans="1:6" x14ac:dyDescent="0.25">
      <c r="A10" t="s">
        <v>37</v>
      </c>
      <c r="B10" t="s">
        <v>61</v>
      </c>
      <c r="C10">
        <v>2268292</v>
      </c>
      <c r="D10">
        <v>10</v>
      </c>
      <c r="E10">
        <v>2312815</v>
      </c>
      <c r="F10">
        <f t="shared" si="0"/>
        <v>0.98074943305020068</v>
      </c>
    </row>
    <row r="11" spans="1:6" x14ac:dyDescent="0.25">
      <c r="A11" t="s">
        <v>38</v>
      </c>
      <c r="B11" t="s">
        <v>61</v>
      </c>
      <c r="C11">
        <v>2266218</v>
      </c>
      <c r="D11">
        <v>10</v>
      </c>
      <c r="E11">
        <v>2324780</v>
      </c>
      <c r="F11">
        <f t="shared" si="0"/>
        <v>0.97480965940863218</v>
      </c>
    </row>
    <row r="12" spans="1:6" x14ac:dyDescent="0.25">
      <c r="A12" t="s">
        <v>34</v>
      </c>
      <c r="B12" t="s">
        <v>61</v>
      </c>
      <c r="C12">
        <v>2269262</v>
      </c>
      <c r="D12">
        <v>20</v>
      </c>
      <c r="E12">
        <v>2303991</v>
      </c>
      <c r="F12">
        <f t="shared" si="0"/>
        <v>0.98492659042504938</v>
      </c>
    </row>
    <row r="13" spans="1:6" x14ac:dyDescent="0.25">
      <c r="A13" t="s">
        <v>35</v>
      </c>
      <c r="B13" t="s">
        <v>61</v>
      </c>
      <c r="C13">
        <v>2268676</v>
      </c>
      <c r="D13">
        <v>20</v>
      </c>
      <c r="E13">
        <v>2316540</v>
      </c>
      <c r="F13">
        <f t="shared" si="0"/>
        <v>0.97933815086292486</v>
      </c>
    </row>
    <row r="14" spans="1:6" x14ac:dyDescent="0.25">
      <c r="A14" t="s">
        <v>36</v>
      </c>
      <c r="B14" t="s">
        <v>61</v>
      </c>
      <c r="C14">
        <v>2282637</v>
      </c>
      <c r="D14">
        <v>20</v>
      </c>
      <c r="E14">
        <v>2324736</v>
      </c>
      <c r="F14">
        <f t="shared" si="0"/>
        <v>0.98189084696068718</v>
      </c>
    </row>
    <row r="15" spans="1:6" x14ac:dyDescent="0.25">
      <c r="A15" t="s">
        <v>37</v>
      </c>
      <c r="B15" t="s">
        <v>61</v>
      </c>
      <c r="C15">
        <v>2282634</v>
      </c>
      <c r="D15">
        <v>20</v>
      </c>
      <c r="E15">
        <v>2312815</v>
      </c>
      <c r="F15">
        <f t="shared" si="0"/>
        <v>0.98695053430559732</v>
      </c>
    </row>
    <row r="16" spans="1:6" x14ac:dyDescent="0.25">
      <c r="A16" t="s">
        <v>38</v>
      </c>
      <c r="B16" t="s">
        <v>61</v>
      </c>
      <c r="C16">
        <v>2261111</v>
      </c>
      <c r="D16">
        <v>20</v>
      </c>
      <c r="E16">
        <v>2324780</v>
      </c>
      <c r="F16">
        <f t="shared" si="0"/>
        <v>0.97261289240272197</v>
      </c>
    </row>
    <row r="17" spans="1:6" x14ac:dyDescent="0.25">
      <c r="A17" t="s">
        <v>34</v>
      </c>
      <c r="B17" t="s">
        <v>61</v>
      </c>
      <c r="C17">
        <v>2286796</v>
      </c>
      <c r="D17">
        <v>30</v>
      </c>
      <c r="E17">
        <v>2303991</v>
      </c>
      <c r="F17">
        <f t="shared" si="0"/>
        <v>0.99253686320823298</v>
      </c>
    </row>
    <row r="18" spans="1:6" x14ac:dyDescent="0.25">
      <c r="A18" t="s">
        <v>35</v>
      </c>
      <c r="B18" t="s">
        <v>61</v>
      </c>
      <c r="C18">
        <v>2280547</v>
      </c>
      <c r="D18">
        <v>30</v>
      </c>
      <c r="E18">
        <v>2316540</v>
      </c>
      <c r="F18">
        <f t="shared" si="0"/>
        <v>0.98446260371070649</v>
      </c>
    </row>
    <row r="19" spans="1:6" x14ac:dyDescent="0.25">
      <c r="A19" t="s">
        <v>36</v>
      </c>
      <c r="B19" t="s">
        <v>61</v>
      </c>
      <c r="C19">
        <v>2296022</v>
      </c>
      <c r="D19">
        <v>30</v>
      </c>
      <c r="E19">
        <v>2324736</v>
      </c>
      <c r="F19">
        <f t="shared" si="0"/>
        <v>0.98764848997907717</v>
      </c>
    </row>
    <row r="20" spans="1:6" x14ac:dyDescent="0.25">
      <c r="A20" t="s">
        <v>37</v>
      </c>
      <c r="B20" t="s">
        <v>61</v>
      </c>
      <c r="C20">
        <v>2282433</v>
      </c>
      <c r="D20">
        <v>30</v>
      </c>
      <c r="E20">
        <v>2312815</v>
      </c>
      <c r="F20">
        <f t="shared" si="0"/>
        <v>0.98686362722483212</v>
      </c>
    </row>
    <row r="21" spans="1:6" x14ac:dyDescent="0.25">
      <c r="A21" t="s">
        <v>38</v>
      </c>
      <c r="B21" t="s">
        <v>61</v>
      </c>
      <c r="C21">
        <v>2287968</v>
      </c>
      <c r="D21">
        <v>30</v>
      </c>
      <c r="E21">
        <v>2324780</v>
      </c>
      <c r="F21">
        <f t="shared" si="0"/>
        <v>0.98416538339111659</v>
      </c>
    </row>
    <row r="22" spans="1:6" x14ac:dyDescent="0.25">
      <c r="A22" t="s">
        <v>34</v>
      </c>
      <c r="B22" t="s">
        <v>61</v>
      </c>
      <c r="C22">
        <v>2338893</v>
      </c>
      <c r="D22">
        <v>60</v>
      </c>
      <c r="E22">
        <v>2303991</v>
      </c>
      <c r="F22">
        <f t="shared" si="0"/>
        <v>1.0151484966738151</v>
      </c>
    </row>
    <row r="23" spans="1:6" x14ac:dyDescent="0.25">
      <c r="A23" t="s">
        <v>35</v>
      </c>
      <c r="B23" t="s">
        <v>61</v>
      </c>
      <c r="C23">
        <v>2333164</v>
      </c>
      <c r="D23">
        <v>60</v>
      </c>
      <c r="E23">
        <v>2316540</v>
      </c>
      <c r="F23">
        <f t="shared" si="0"/>
        <v>1.0071762197069767</v>
      </c>
    </row>
    <row r="24" spans="1:6" x14ac:dyDescent="0.25">
      <c r="A24" t="s">
        <v>36</v>
      </c>
      <c r="B24" t="s">
        <v>61</v>
      </c>
      <c r="C24">
        <v>2346800</v>
      </c>
      <c r="D24">
        <v>60</v>
      </c>
      <c r="E24">
        <v>2324736</v>
      </c>
      <c r="F24">
        <f t="shared" si="0"/>
        <v>1.0094909701574717</v>
      </c>
    </row>
    <row r="25" spans="1:6" x14ac:dyDescent="0.25">
      <c r="A25" t="s">
        <v>37</v>
      </c>
      <c r="B25" t="s">
        <v>61</v>
      </c>
      <c r="C25">
        <v>2319428</v>
      </c>
      <c r="D25">
        <v>60</v>
      </c>
      <c r="E25">
        <v>2312815</v>
      </c>
      <c r="F25">
        <f t="shared" si="0"/>
        <v>1.0028592861945291</v>
      </c>
    </row>
    <row r="26" spans="1:6" x14ac:dyDescent="0.25">
      <c r="A26" t="s">
        <v>38</v>
      </c>
      <c r="B26" t="s">
        <v>61</v>
      </c>
      <c r="C26">
        <v>2323232</v>
      </c>
      <c r="D26">
        <v>60</v>
      </c>
      <c r="E26">
        <v>2324780</v>
      </c>
      <c r="F26">
        <f t="shared" si="0"/>
        <v>0.99933413054138454</v>
      </c>
    </row>
    <row r="27" spans="1:6" x14ac:dyDescent="0.25">
      <c r="A27" t="s">
        <v>34</v>
      </c>
      <c r="B27" t="s">
        <v>61</v>
      </c>
      <c r="C27">
        <v>2376427</v>
      </c>
      <c r="D27">
        <v>90</v>
      </c>
      <c r="E27">
        <v>2303991</v>
      </c>
      <c r="F27">
        <f t="shared" si="0"/>
        <v>1.0314393589211068</v>
      </c>
    </row>
    <row r="28" spans="1:6" x14ac:dyDescent="0.25">
      <c r="A28" t="s">
        <v>35</v>
      </c>
      <c r="B28" t="s">
        <v>61</v>
      </c>
      <c r="C28">
        <v>2361388</v>
      </c>
      <c r="D28">
        <v>90</v>
      </c>
      <c r="E28">
        <v>2316540</v>
      </c>
      <c r="F28">
        <f t="shared" si="0"/>
        <v>1.0193599074481769</v>
      </c>
    </row>
    <row r="29" spans="1:6" x14ac:dyDescent="0.25">
      <c r="A29" t="s">
        <v>36</v>
      </c>
      <c r="B29" t="s">
        <v>61</v>
      </c>
      <c r="C29">
        <v>2368805</v>
      </c>
      <c r="D29">
        <v>90</v>
      </c>
      <c r="E29">
        <v>2324736</v>
      </c>
      <c r="F29">
        <f t="shared" si="0"/>
        <v>1.0189565610890872</v>
      </c>
    </row>
    <row r="30" spans="1:6" x14ac:dyDescent="0.25">
      <c r="A30" t="s">
        <v>37</v>
      </c>
      <c r="B30" t="s">
        <v>61</v>
      </c>
      <c r="C30">
        <v>2356463</v>
      </c>
      <c r="D30">
        <v>90</v>
      </c>
      <c r="E30">
        <v>2312815</v>
      </c>
      <c r="F30">
        <f t="shared" si="0"/>
        <v>1.018872240105672</v>
      </c>
    </row>
    <row r="31" spans="1:6" x14ac:dyDescent="0.25">
      <c r="A31" t="s">
        <v>38</v>
      </c>
      <c r="B31" t="s">
        <v>61</v>
      </c>
      <c r="C31">
        <v>2342941</v>
      </c>
      <c r="D31">
        <v>90</v>
      </c>
      <c r="E31">
        <v>2324780</v>
      </c>
      <c r="F31">
        <f t="shared" si="0"/>
        <v>1.0078119219883173</v>
      </c>
    </row>
    <row r="32" spans="1:6" x14ac:dyDescent="0.25">
      <c r="A32" t="s">
        <v>34</v>
      </c>
      <c r="B32" t="s">
        <v>61</v>
      </c>
      <c r="C32">
        <v>2385458</v>
      </c>
      <c r="D32">
        <v>120</v>
      </c>
      <c r="E32">
        <v>2303991</v>
      </c>
      <c r="F32">
        <f t="shared" si="0"/>
        <v>1.0353590790936249</v>
      </c>
    </row>
    <row r="33" spans="1:6" x14ac:dyDescent="0.25">
      <c r="A33" t="s">
        <v>35</v>
      </c>
      <c r="B33" t="s">
        <v>61</v>
      </c>
      <c r="C33">
        <v>2381392</v>
      </c>
      <c r="D33">
        <v>120</v>
      </c>
      <c r="E33">
        <v>2316540</v>
      </c>
      <c r="F33">
        <f t="shared" si="0"/>
        <v>1.0279951997375396</v>
      </c>
    </row>
    <row r="34" spans="1:6" x14ac:dyDescent="0.25">
      <c r="A34" t="s">
        <v>36</v>
      </c>
      <c r="B34" t="s">
        <v>61</v>
      </c>
      <c r="C34">
        <v>2399492</v>
      </c>
      <c r="D34">
        <v>120</v>
      </c>
      <c r="E34">
        <v>2324736</v>
      </c>
      <c r="F34">
        <f t="shared" si="0"/>
        <v>1.0321567696288956</v>
      </c>
    </row>
    <row r="35" spans="1:6" x14ac:dyDescent="0.25">
      <c r="A35" t="s">
        <v>37</v>
      </c>
      <c r="B35" t="s">
        <v>61</v>
      </c>
      <c r="C35">
        <v>2380047</v>
      </c>
      <c r="D35">
        <v>120</v>
      </c>
      <c r="E35">
        <v>2312815</v>
      </c>
      <c r="F35">
        <f t="shared" si="0"/>
        <v>1.029069337582124</v>
      </c>
    </row>
    <row r="36" spans="1:6" x14ac:dyDescent="0.25">
      <c r="A36" t="s">
        <v>38</v>
      </c>
      <c r="B36" t="s">
        <v>61</v>
      </c>
      <c r="C36">
        <v>2367943</v>
      </c>
      <c r="D36">
        <v>120</v>
      </c>
      <c r="E36">
        <v>2324780</v>
      </c>
      <c r="F36">
        <f t="shared" si="0"/>
        <v>1.0185664880117689</v>
      </c>
    </row>
    <row r="37" spans="1:6" x14ac:dyDescent="0.25">
      <c r="A37" t="s">
        <v>34</v>
      </c>
      <c r="B37" t="s">
        <v>61</v>
      </c>
      <c r="C37">
        <v>2414655</v>
      </c>
      <c r="D37">
        <v>150</v>
      </c>
      <c r="E37">
        <v>2303991</v>
      </c>
      <c r="F37">
        <f t="shared" si="0"/>
        <v>1.0480314376228033</v>
      </c>
    </row>
    <row r="38" spans="1:6" x14ac:dyDescent="0.25">
      <c r="A38" t="s">
        <v>35</v>
      </c>
      <c r="B38" t="s">
        <v>61</v>
      </c>
      <c r="C38">
        <v>2414304</v>
      </c>
      <c r="D38">
        <v>150</v>
      </c>
      <c r="E38">
        <v>2316540</v>
      </c>
      <c r="F38">
        <f t="shared" si="0"/>
        <v>1.0422025952498122</v>
      </c>
    </row>
    <row r="39" spans="1:6" x14ac:dyDescent="0.25">
      <c r="A39" t="s">
        <v>36</v>
      </c>
      <c r="B39" t="s">
        <v>61</v>
      </c>
      <c r="C39">
        <v>2418426</v>
      </c>
      <c r="D39">
        <v>150</v>
      </c>
      <c r="E39">
        <v>2324736</v>
      </c>
      <c r="F39">
        <f t="shared" si="0"/>
        <v>1.0403013503468781</v>
      </c>
    </row>
    <row r="40" spans="1:6" x14ac:dyDescent="0.25">
      <c r="A40" t="s">
        <v>37</v>
      </c>
      <c r="B40" t="s">
        <v>61</v>
      </c>
      <c r="C40">
        <v>2396325</v>
      </c>
      <c r="D40">
        <v>150</v>
      </c>
      <c r="E40">
        <v>2312815</v>
      </c>
      <c r="F40">
        <f t="shared" si="0"/>
        <v>1.0361075140034979</v>
      </c>
    </row>
    <row r="41" spans="1:6" x14ac:dyDescent="0.25">
      <c r="A41" t="s">
        <v>38</v>
      </c>
      <c r="B41" t="s">
        <v>61</v>
      </c>
      <c r="C41">
        <v>2387796</v>
      </c>
      <c r="D41">
        <v>150</v>
      </c>
      <c r="E41">
        <v>2324780</v>
      </c>
      <c r="F41">
        <f t="shared" si="0"/>
        <v>1.027106220803689</v>
      </c>
    </row>
    <row r="42" spans="1:6" x14ac:dyDescent="0.25">
      <c r="A42" t="s">
        <v>34</v>
      </c>
      <c r="B42" t="s">
        <v>61</v>
      </c>
      <c r="C42">
        <v>2442266</v>
      </c>
      <c r="D42">
        <v>180</v>
      </c>
      <c r="E42">
        <v>2303991</v>
      </c>
      <c r="F42">
        <f t="shared" si="0"/>
        <v>1.0600154254074776</v>
      </c>
    </row>
    <row r="43" spans="1:6" x14ac:dyDescent="0.25">
      <c r="A43" t="s">
        <v>35</v>
      </c>
      <c r="B43" t="s">
        <v>61</v>
      </c>
      <c r="C43">
        <v>2438339</v>
      </c>
      <c r="D43">
        <v>180</v>
      </c>
      <c r="E43">
        <v>2316540</v>
      </c>
      <c r="F43">
        <f t="shared" si="0"/>
        <v>1.0525779826810675</v>
      </c>
    </row>
    <row r="44" spans="1:6" x14ac:dyDescent="0.25">
      <c r="A44" t="s">
        <v>36</v>
      </c>
      <c r="B44" t="s">
        <v>61</v>
      </c>
      <c r="C44">
        <v>2445836</v>
      </c>
      <c r="D44">
        <v>180</v>
      </c>
      <c r="E44">
        <v>2324736</v>
      </c>
      <c r="F44">
        <f t="shared" si="0"/>
        <v>1.0520919364607422</v>
      </c>
    </row>
    <row r="45" spans="1:6" x14ac:dyDescent="0.25">
      <c r="A45" t="s">
        <v>37</v>
      </c>
      <c r="B45" t="s">
        <v>61</v>
      </c>
      <c r="C45">
        <v>2414022</v>
      </c>
      <c r="D45">
        <v>180</v>
      </c>
      <c r="E45">
        <v>2312815</v>
      </c>
      <c r="F45">
        <f t="shared" si="0"/>
        <v>1.043759228472662</v>
      </c>
    </row>
    <row r="46" spans="1:6" x14ac:dyDescent="0.25">
      <c r="A46" t="s">
        <v>38</v>
      </c>
      <c r="B46" t="s">
        <v>61</v>
      </c>
      <c r="C46">
        <v>2416419</v>
      </c>
      <c r="D46">
        <v>180</v>
      </c>
      <c r="E46">
        <v>2324780</v>
      </c>
      <c r="F46">
        <f t="shared" si="0"/>
        <v>1.0394183535646384</v>
      </c>
    </row>
    <row r="47" spans="1:6" x14ac:dyDescent="0.25">
      <c r="A47" t="s">
        <v>39</v>
      </c>
      <c r="B47" t="s">
        <v>62</v>
      </c>
      <c r="C47">
        <v>2343509</v>
      </c>
      <c r="D47">
        <v>2</v>
      </c>
      <c r="E47">
        <v>2343509</v>
      </c>
      <c r="F47">
        <f t="shared" si="0"/>
        <v>1</v>
      </c>
    </row>
    <row r="48" spans="1:6" x14ac:dyDescent="0.25">
      <c r="A48" t="s">
        <v>40</v>
      </c>
      <c r="B48" t="s">
        <v>62</v>
      </c>
      <c r="C48">
        <v>2337030</v>
      </c>
      <c r="D48">
        <v>2</v>
      </c>
      <c r="E48">
        <v>2337030</v>
      </c>
      <c r="F48">
        <f t="shared" si="0"/>
        <v>1</v>
      </c>
    </row>
    <row r="49" spans="1:6" x14ac:dyDescent="0.25">
      <c r="A49" t="s">
        <v>41</v>
      </c>
      <c r="B49" t="s">
        <v>62</v>
      </c>
      <c r="C49">
        <v>2347550</v>
      </c>
      <c r="D49">
        <v>2</v>
      </c>
      <c r="E49">
        <v>2347550</v>
      </c>
      <c r="F49">
        <f t="shared" si="0"/>
        <v>1</v>
      </c>
    </row>
    <row r="50" spans="1:6" x14ac:dyDescent="0.25">
      <c r="A50" t="s">
        <v>42</v>
      </c>
      <c r="B50" t="s">
        <v>62</v>
      </c>
      <c r="C50">
        <v>2356451</v>
      </c>
      <c r="D50">
        <v>2</v>
      </c>
      <c r="E50">
        <v>2356451</v>
      </c>
      <c r="F50">
        <f t="shared" si="0"/>
        <v>1</v>
      </c>
    </row>
    <row r="51" spans="1:6" x14ac:dyDescent="0.25">
      <c r="A51" t="s">
        <v>43</v>
      </c>
      <c r="B51" t="s">
        <v>62</v>
      </c>
      <c r="C51">
        <v>2352889</v>
      </c>
      <c r="D51">
        <v>2</v>
      </c>
      <c r="E51">
        <v>2352889</v>
      </c>
      <c r="F51">
        <f t="shared" si="0"/>
        <v>1</v>
      </c>
    </row>
    <row r="52" spans="1:6" x14ac:dyDescent="0.25">
      <c r="A52" t="s">
        <v>39</v>
      </c>
      <c r="B52" t="s">
        <v>62</v>
      </c>
      <c r="C52">
        <v>2290414</v>
      </c>
      <c r="D52">
        <v>10</v>
      </c>
      <c r="E52">
        <v>2343509</v>
      </c>
      <c r="F52">
        <f t="shared" si="0"/>
        <v>0.97734380367218565</v>
      </c>
    </row>
    <row r="53" spans="1:6" x14ac:dyDescent="0.25">
      <c r="A53" t="s">
        <v>40</v>
      </c>
      <c r="B53" t="s">
        <v>62</v>
      </c>
      <c r="C53">
        <v>2299002</v>
      </c>
      <c r="D53">
        <v>10</v>
      </c>
      <c r="E53">
        <v>2337030</v>
      </c>
      <c r="F53">
        <f t="shared" si="0"/>
        <v>0.98372806510827848</v>
      </c>
    </row>
    <row r="54" spans="1:6" x14ac:dyDescent="0.25">
      <c r="A54" t="s">
        <v>41</v>
      </c>
      <c r="B54" t="s">
        <v>62</v>
      </c>
      <c r="C54">
        <v>2289980</v>
      </c>
      <c r="D54">
        <v>10</v>
      </c>
      <c r="E54">
        <v>2347550</v>
      </c>
      <c r="F54">
        <f t="shared" si="0"/>
        <v>0.97547656066963429</v>
      </c>
    </row>
    <row r="55" spans="1:6" x14ac:dyDescent="0.25">
      <c r="A55" t="s">
        <v>42</v>
      </c>
      <c r="B55" t="s">
        <v>62</v>
      </c>
      <c r="C55">
        <v>2296654</v>
      </c>
      <c r="D55">
        <v>10</v>
      </c>
      <c r="E55">
        <v>2356451</v>
      </c>
      <c r="F55">
        <f t="shared" si="0"/>
        <v>0.9746241275545301</v>
      </c>
    </row>
    <row r="56" spans="1:6" x14ac:dyDescent="0.25">
      <c r="A56" t="s">
        <v>43</v>
      </c>
      <c r="B56" t="s">
        <v>62</v>
      </c>
      <c r="C56">
        <v>2291408</v>
      </c>
      <c r="D56">
        <v>10</v>
      </c>
      <c r="E56">
        <v>2352889</v>
      </c>
      <c r="F56">
        <f t="shared" si="0"/>
        <v>0.9738699955671517</v>
      </c>
    </row>
    <row r="57" spans="1:6" x14ac:dyDescent="0.25">
      <c r="A57" t="s">
        <v>39</v>
      </c>
      <c r="B57" t="s">
        <v>62</v>
      </c>
      <c r="C57">
        <v>2254703</v>
      </c>
      <c r="D57">
        <v>20</v>
      </c>
      <c r="E57">
        <v>2343509</v>
      </c>
      <c r="F57">
        <f t="shared" si="0"/>
        <v>0.96210554343934673</v>
      </c>
    </row>
    <row r="58" spans="1:6" x14ac:dyDescent="0.25">
      <c r="A58" t="s">
        <v>40</v>
      </c>
      <c r="B58" t="s">
        <v>62</v>
      </c>
      <c r="C58">
        <v>2243829</v>
      </c>
      <c r="D58">
        <v>20</v>
      </c>
      <c r="E58">
        <v>2337030</v>
      </c>
      <c r="F58">
        <f t="shared" si="0"/>
        <v>0.96011989576513779</v>
      </c>
    </row>
    <row r="59" spans="1:6" x14ac:dyDescent="0.25">
      <c r="A59" t="s">
        <v>41</v>
      </c>
      <c r="B59" t="s">
        <v>62</v>
      </c>
      <c r="C59">
        <v>2248553</v>
      </c>
      <c r="D59">
        <v>20</v>
      </c>
      <c r="E59">
        <v>2347550</v>
      </c>
      <c r="F59">
        <f t="shared" si="0"/>
        <v>0.95782965219058169</v>
      </c>
    </row>
    <row r="60" spans="1:6" x14ac:dyDescent="0.25">
      <c r="A60" t="s">
        <v>42</v>
      </c>
      <c r="B60" t="s">
        <v>62</v>
      </c>
      <c r="C60">
        <v>2243668</v>
      </c>
      <c r="D60">
        <v>20</v>
      </c>
      <c r="E60">
        <v>2356451</v>
      </c>
      <c r="F60">
        <f t="shared" si="0"/>
        <v>0.95213861862606097</v>
      </c>
    </row>
    <row r="61" spans="1:6" x14ac:dyDescent="0.25">
      <c r="A61" t="s">
        <v>43</v>
      </c>
      <c r="B61" t="s">
        <v>62</v>
      </c>
      <c r="C61">
        <v>2256589</v>
      </c>
      <c r="D61">
        <v>20</v>
      </c>
      <c r="E61">
        <v>2352889</v>
      </c>
      <c r="F61">
        <f t="shared" si="0"/>
        <v>0.95907159241256179</v>
      </c>
    </row>
    <row r="62" spans="1:6" x14ac:dyDescent="0.25">
      <c r="A62" t="s">
        <v>39</v>
      </c>
      <c r="B62" t="s">
        <v>62</v>
      </c>
      <c r="C62">
        <v>2217841</v>
      </c>
      <c r="D62">
        <v>30</v>
      </c>
      <c r="E62">
        <v>2343509</v>
      </c>
      <c r="F62">
        <f t="shared" si="0"/>
        <v>0.94637613937049103</v>
      </c>
    </row>
    <row r="63" spans="1:6" x14ac:dyDescent="0.25">
      <c r="A63" t="s">
        <v>40</v>
      </c>
      <c r="B63" t="s">
        <v>62</v>
      </c>
      <c r="C63">
        <v>2248342</v>
      </c>
      <c r="D63">
        <v>30</v>
      </c>
      <c r="E63">
        <v>2337030</v>
      </c>
      <c r="F63">
        <f t="shared" si="0"/>
        <v>0.96205097923432736</v>
      </c>
    </row>
    <row r="64" spans="1:6" x14ac:dyDescent="0.25">
      <c r="A64" t="s">
        <v>41</v>
      </c>
      <c r="B64" t="s">
        <v>62</v>
      </c>
      <c r="C64">
        <v>2214508</v>
      </c>
      <c r="D64">
        <v>30</v>
      </c>
      <c r="E64">
        <v>2347550</v>
      </c>
      <c r="F64">
        <f t="shared" si="0"/>
        <v>0.94332729867308474</v>
      </c>
    </row>
    <row r="65" spans="1:6" x14ac:dyDescent="0.25">
      <c r="A65" t="s">
        <v>42</v>
      </c>
      <c r="B65" t="s">
        <v>62</v>
      </c>
      <c r="C65">
        <v>2246973</v>
      </c>
      <c r="D65">
        <v>30</v>
      </c>
      <c r="E65">
        <v>2356451</v>
      </c>
      <c r="F65">
        <f t="shared" si="0"/>
        <v>0.95354115150283203</v>
      </c>
    </row>
    <row r="66" spans="1:6" x14ac:dyDescent="0.25">
      <c r="A66" t="s">
        <v>43</v>
      </c>
      <c r="B66" t="s">
        <v>62</v>
      </c>
      <c r="C66">
        <v>2234122</v>
      </c>
      <c r="D66">
        <v>30</v>
      </c>
      <c r="E66">
        <v>2352889</v>
      </c>
      <c r="F66">
        <f t="shared" si="0"/>
        <v>0.94952290567043329</v>
      </c>
    </row>
    <row r="67" spans="1:6" x14ac:dyDescent="0.25">
      <c r="A67" t="s">
        <v>39</v>
      </c>
      <c r="B67" t="s">
        <v>62</v>
      </c>
      <c r="C67">
        <v>2167374</v>
      </c>
      <c r="D67">
        <v>60</v>
      </c>
      <c r="E67">
        <v>2343509</v>
      </c>
      <c r="F67">
        <f t="shared" ref="F67:F130" si="1">C67/E67</f>
        <v>0.92484133835201832</v>
      </c>
    </row>
    <row r="68" spans="1:6" x14ac:dyDescent="0.25">
      <c r="A68" t="s">
        <v>40</v>
      </c>
      <c r="B68" t="s">
        <v>62</v>
      </c>
      <c r="C68">
        <v>2205788</v>
      </c>
      <c r="D68">
        <v>60</v>
      </c>
      <c r="E68">
        <v>2337030</v>
      </c>
      <c r="F68">
        <f t="shared" si="1"/>
        <v>0.94384239825761762</v>
      </c>
    </row>
    <row r="69" spans="1:6" x14ac:dyDescent="0.25">
      <c r="A69" t="s">
        <v>41</v>
      </c>
      <c r="B69" t="s">
        <v>62</v>
      </c>
      <c r="C69">
        <v>2222851</v>
      </c>
      <c r="D69">
        <v>60</v>
      </c>
      <c r="E69">
        <v>2347550</v>
      </c>
      <c r="F69">
        <f t="shared" si="1"/>
        <v>0.94688121658750612</v>
      </c>
    </row>
    <row r="70" spans="1:6" x14ac:dyDescent="0.25">
      <c r="A70" t="s">
        <v>42</v>
      </c>
      <c r="B70" t="s">
        <v>62</v>
      </c>
      <c r="C70">
        <v>2209795</v>
      </c>
      <c r="D70">
        <v>60</v>
      </c>
      <c r="E70">
        <v>2356451</v>
      </c>
      <c r="F70">
        <f t="shared" si="1"/>
        <v>0.93776403583185053</v>
      </c>
    </row>
    <row r="71" spans="1:6" x14ac:dyDescent="0.25">
      <c r="A71" t="s">
        <v>43</v>
      </c>
      <c r="B71" t="s">
        <v>62</v>
      </c>
      <c r="C71">
        <v>2215093</v>
      </c>
      <c r="D71">
        <v>60</v>
      </c>
      <c r="E71">
        <v>2352889</v>
      </c>
      <c r="F71">
        <f t="shared" si="1"/>
        <v>0.94143540133002446</v>
      </c>
    </row>
    <row r="72" spans="1:6" x14ac:dyDescent="0.25">
      <c r="A72" t="s">
        <v>39</v>
      </c>
      <c r="B72" t="s">
        <v>62</v>
      </c>
      <c r="C72">
        <v>2178510</v>
      </c>
      <c r="D72">
        <v>90</v>
      </c>
      <c r="E72">
        <v>2343509</v>
      </c>
      <c r="F72">
        <f t="shared" si="1"/>
        <v>0.92959318696877202</v>
      </c>
    </row>
    <row r="73" spans="1:6" x14ac:dyDescent="0.25">
      <c r="A73" t="s">
        <v>40</v>
      </c>
      <c r="B73" t="s">
        <v>62</v>
      </c>
      <c r="C73">
        <v>2155661</v>
      </c>
      <c r="D73">
        <v>90</v>
      </c>
      <c r="E73">
        <v>2337030</v>
      </c>
      <c r="F73">
        <f t="shared" si="1"/>
        <v>0.92239337963141255</v>
      </c>
    </row>
    <row r="74" spans="1:6" x14ac:dyDescent="0.25">
      <c r="A74" t="s">
        <v>41</v>
      </c>
      <c r="B74" t="s">
        <v>62</v>
      </c>
      <c r="C74">
        <v>2197548</v>
      </c>
      <c r="D74">
        <v>90</v>
      </c>
      <c r="E74">
        <v>2347550</v>
      </c>
      <c r="F74">
        <f t="shared" si="1"/>
        <v>0.93610274541543315</v>
      </c>
    </row>
    <row r="75" spans="1:6" x14ac:dyDescent="0.25">
      <c r="A75" t="s">
        <v>42</v>
      </c>
      <c r="B75" t="s">
        <v>62</v>
      </c>
      <c r="C75">
        <v>2185953</v>
      </c>
      <c r="D75">
        <v>90</v>
      </c>
      <c r="E75">
        <v>2356451</v>
      </c>
      <c r="F75">
        <f t="shared" si="1"/>
        <v>0.92764627823790946</v>
      </c>
    </row>
    <row r="76" spans="1:6" x14ac:dyDescent="0.25">
      <c r="A76" t="s">
        <v>43</v>
      </c>
      <c r="B76" t="s">
        <v>62</v>
      </c>
      <c r="C76">
        <v>2190334</v>
      </c>
      <c r="D76">
        <v>90</v>
      </c>
      <c r="E76">
        <v>2352889</v>
      </c>
      <c r="F76">
        <f t="shared" si="1"/>
        <v>0.93091259298674944</v>
      </c>
    </row>
    <row r="77" spans="1:6" x14ac:dyDescent="0.25">
      <c r="A77" t="s">
        <v>39</v>
      </c>
      <c r="B77" t="s">
        <v>62</v>
      </c>
      <c r="C77">
        <v>2168858</v>
      </c>
      <c r="D77">
        <v>120</v>
      </c>
      <c r="E77">
        <v>2343509</v>
      </c>
      <c r="F77">
        <f t="shared" si="1"/>
        <v>0.92547457679915035</v>
      </c>
    </row>
    <row r="78" spans="1:6" x14ac:dyDescent="0.25">
      <c r="A78" t="s">
        <v>40</v>
      </c>
      <c r="B78" t="s">
        <v>62</v>
      </c>
      <c r="C78">
        <v>2162778</v>
      </c>
      <c r="D78">
        <v>120</v>
      </c>
      <c r="E78">
        <v>2337030</v>
      </c>
      <c r="F78">
        <f t="shared" si="1"/>
        <v>0.92543869783443089</v>
      </c>
    </row>
    <row r="79" spans="1:6" x14ac:dyDescent="0.25">
      <c r="A79" t="s">
        <v>41</v>
      </c>
      <c r="B79" t="s">
        <v>62</v>
      </c>
      <c r="C79">
        <v>2204132</v>
      </c>
      <c r="D79">
        <v>120</v>
      </c>
      <c r="E79">
        <v>2347550</v>
      </c>
      <c r="F79">
        <f t="shared" si="1"/>
        <v>0.93890737151498371</v>
      </c>
    </row>
    <row r="80" spans="1:6" x14ac:dyDescent="0.25">
      <c r="A80" t="s">
        <v>42</v>
      </c>
      <c r="B80" t="s">
        <v>62</v>
      </c>
      <c r="C80">
        <v>2184776</v>
      </c>
      <c r="D80">
        <v>120</v>
      </c>
      <c r="E80">
        <v>2356451</v>
      </c>
      <c r="F80">
        <f t="shared" si="1"/>
        <v>0.92714679829964641</v>
      </c>
    </row>
    <row r="81" spans="1:6" x14ac:dyDescent="0.25">
      <c r="A81" t="s">
        <v>43</v>
      </c>
      <c r="B81" t="s">
        <v>62</v>
      </c>
      <c r="C81">
        <v>2159390</v>
      </c>
      <c r="D81">
        <v>120</v>
      </c>
      <c r="E81">
        <v>2352889</v>
      </c>
      <c r="F81">
        <f t="shared" si="1"/>
        <v>0.9177611013524225</v>
      </c>
    </row>
    <row r="82" spans="1:6" x14ac:dyDescent="0.25">
      <c r="A82" t="s">
        <v>39</v>
      </c>
      <c r="B82" t="s">
        <v>62</v>
      </c>
      <c r="C82">
        <v>2167223</v>
      </c>
      <c r="D82">
        <v>150</v>
      </c>
      <c r="E82">
        <v>2343509</v>
      </c>
      <c r="F82">
        <f t="shared" si="1"/>
        <v>0.92477690505989096</v>
      </c>
    </row>
    <row r="83" spans="1:6" x14ac:dyDescent="0.25">
      <c r="A83" t="s">
        <v>40</v>
      </c>
      <c r="B83" t="s">
        <v>62</v>
      </c>
      <c r="C83">
        <v>2156056</v>
      </c>
      <c r="D83">
        <v>150</v>
      </c>
      <c r="E83">
        <v>2337030</v>
      </c>
      <c r="F83">
        <f t="shared" si="1"/>
        <v>0.92256239757298797</v>
      </c>
    </row>
    <row r="84" spans="1:6" x14ac:dyDescent="0.25">
      <c r="A84" t="s">
        <v>41</v>
      </c>
      <c r="B84" t="s">
        <v>62</v>
      </c>
      <c r="C84">
        <v>2192655</v>
      </c>
      <c r="D84">
        <v>150</v>
      </c>
      <c r="E84">
        <v>2347550</v>
      </c>
      <c r="F84">
        <f t="shared" si="1"/>
        <v>0.93401844476155993</v>
      </c>
    </row>
    <row r="85" spans="1:6" x14ac:dyDescent="0.25">
      <c r="A85" t="s">
        <v>42</v>
      </c>
      <c r="B85" t="s">
        <v>62</v>
      </c>
      <c r="C85">
        <v>2174648</v>
      </c>
      <c r="D85">
        <v>150</v>
      </c>
      <c r="E85">
        <v>2356451</v>
      </c>
      <c r="F85">
        <f t="shared" si="1"/>
        <v>0.92284880950208592</v>
      </c>
    </row>
    <row r="86" spans="1:6" x14ac:dyDescent="0.25">
      <c r="A86" t="s">
        <v>43</v>
      </c>
      <c r="B86" t="s">
        <v>62</v>
      </c>
      <c r="C86">
        <v>2151356</v>
      </c>
      <c r="D86">
        <v>150</v>
      </c>
      <c r="E86">
        <v>2352889</v>
      </c>
      <c r="F86">
        <f t="shared" si="1"/>
        <v>0.91434657563531474</v>
      </c>
    </row>
    <row r="87" spans="1:6" x14ac:dyDescent="0.25">
      <c r="A87" t="s">
        <v>39</v>
      </c>
      <c r="B87" t="s">
        <v>62</v>
      </c>
      <c r="C87">
        <v>2151101</v>
      </c>
      <c r="D87">
        <v>180</v>
      </c>
      <c r="E87">
        <v>2343509</v>
      </c>
      <c r="F87">
        <f t="shared" si="1"/>
        <v>0.91789747767130403</v>
      </c>
    </row>
    <row r="88" spans="1:6" x14ac:dyDescent="0.25">
      <c r="A88" t="s">
        <v>40</v>
      </c>
      <c r="B88" t="s">
        <v>62</v>
      </c>
      <c r="C88">
        <v>2152992</v>
      </c>
      <c r="D88">
        <v>180</v>
      </c>
      <c r="E88">
        <v>2337030</v>
      </c>
      <c r="F88">
        <f t="shared" si="1"/>
        <v>0.92125133181859031</v>
      </c>
    </row>
    <row r="89" spans="1:6" x14ac:dyDescent="0.25">
      <c r="A89" t="s">
        <v>41</v>
      </c>
      <c r="B89" t="s">
        <v>62</v>
      </c>
      <c r="C89">
        <v>2179270</v>
      </c>
      <c r="D89">
        <v>180</v>
      </c>
      <c r="E89">
        <v>2347550</v>
      </c>
      <c r="F89">
        <f t="shared" si="1"/>
        <v>0.92831675576665029</v>
      </c>
    </row>
    <row r="90" spans="1:6" x14ac:dyDescent="0.25">
      <c r="A90" t="s">
        <v>42</v>
      </c>
      <c r="B90" t="s">
        <v>62</v>
      </c>
      <c r="C90">
        <v>2185778</v>
      </c>
      <c r="D90">
        <v>180</v>
      </c>
      <c r="E90">
        <v>2356451</v>
      </c>
      <c r="F90">
        <f t="shared" si="1"/>
        <v>0.92757201401599265</v>
      </c>
    </row>
    <row r="91" spans="1:6" x14ac:dyDescent="0.25">
      <c r="A91" t="s">
        <v>43</v>
      </c>
      <c r="B91" t="s">
        <v>62</v>
      </c>
      <c r="C91">
        <v>2147600</v>
      </c>
      <c r="D91">
        <v>180</v>
      </c>
      <c r="E91">
        <v>2352889</v>
      </c>
      <c r="F91">
        <f t="shared" si="1"/>
        <v>0.91275024023657725</v>
      </c>
    </row>
    <row r="92" spans="1:6" x14ac:dyDescent="0.25">
      <c r="A92" t="s">
        <v>44</v>
      </c>
      <c r="B92" t="s">
        <v>7</v>
      </c>
      <c r="C92">
        <v>1082298</v>
      </c>
      <c r="D92">
        <v>2</v>
      </c>
      <c r="E92">
        <v>1082298</v>
      </c>
      <c r="F92">
        <f t="shared" si="1"/>
        <v>1</v>
      </c>
    </row>
    <row r="93" spans="1:6" x14ac:dyDescent="0.25">
      <c r="A93" t="s">
        <v>45</v>
      </c>
      <c r="B93" t="s">
        <v>7</v>
      </c>
      <c r="C93">
        <v>1082135</v>
      </c>
      <c r="D93">
        <v>2</v>
      </c>
      <c r="E93">
        <v>1082135</v>
      </c>
      <c r="F93">
        <f t="shared" si="1"/>
        <v>1</v>
      </c>
    </row>
    <row r="94" spans="1:6" x14ac:dyDescent="0.25">
      <c r="A94" t="s">
        <v>46</v>
      </c>
      <c r="B94" t="s">
        <v>7</v>
      </c>
      <c r="C94">
        <v>1082784</v>
      </c>
      <c r="D94">
        <v>2</v>
      </c>
      <c r="E94">
        <v>1082784</v>
      </c>
      <c r="F94">
        <f t="shared" si="1"/>
        <v>1</v>
      </c>
    </row>
    <row r="95" spans="1:6" x14ac:dyDescent="0.25">
      <c r="A95" t="s">
        <v>47</v>
      </c>
      <c r="B95" t="s">
        <v>7</v>
      </c>
      <c r="C95">
        <v>1084688</v>
      </c>
      <c r="D95">
        <v>2</v>
      </c>
      <c r="E95">
        <v>1084688</v>
      </c>
      <c r="F95">
        <f t="shared" si="1"/>
        <v>1</v>
      </c>
    </row>
    <row r="96" spans="1:6" x14ac:dyDescent="0.25">
      <c r="A96" t="s">
        <v>48</v>
      </c>
      <c r="B96" t="s">
        <v>7</v>
      </c>
      <c r="C96">
        <v>1073456</v>
      </c>
      <c r="D96">
        <v>2</v>
      </c>
      <c r="E96">
        <v>1073456</v>
      </c>
      <c r="F96">
        <f t="shared" si="1"/>
        <v>1</v>
      </c>
    </row>
    <row r="97" spans="1:6" x14ac:dyDescent="0.25">
      <c r="A97" t="s">
        <v>44</v>
      </c>
      <c r="B97" t="s">
        <v>7</v>
      </c>
      <c r="C97">
        <v>1052324</v>
      </c>
      <c r="D97">
        <v>10</v>
      </c>
      <c r="E97">
        <v>1082298</v>
      </c>
      <c r="F97">
        <f t="shared" si="1"/>
        <v>0.97230522462390212</v>
      </c>
    </row>
    <row r="98" spans="1:6" x14ac:dyDescent="0.25">
      <c r="A98" t="s">
        <v>45</v>
      </c>
      <c r="B98" t="s">
        <v>7</v>
      </c>
      <c r="C98">
        <v>1048946</v>
      </c>
      <c r="D98">
        <v>10</v>
      </c>
      <c r="E98">
        <v>1082135</v>
      </c>
      <c r="F98">
        <f t="shared" si="1"/>
        <v>0.96933007434377416</v>
      </c>
    </row>
    <row r="99" spans="1:6" x14ac:dyDescent="0.25">
      <c r="A99" t="s">
        <v>46</v>
      </c>
      <c r="B99" t="s">
        <v>7</v>
      </c>
      <c r="C99">
        <v>1067238</v>
      </c>
      <c r="D99">
        <v>10</v>
      </c>
      <c r="E99">
        <v>1082784</v>
      </c>
      <c r="F99">
        <f t="shared" si="1"/>
        <v>0.98564256583030407</v>
      </c>
    </row>
    <row r="100" spans="1:6" x14ac:dyDescent="0.25">
      <c r="A100" t="s">
        <v>47</v>
      </c>
      <c r="B100" t="s">
        <v>7</v>
      </c>
      <c r="C100">
        <v>1055271</v>
      </c>
      <c r="D100">
        <v>10</v>
      </c>
      <c r="E100">
        <v>1084688</v>
      </c>
      <c r="F100">
        <f t="shared" si="1"/>
        <v>0.97287975897216528</v>
      </c>
    </row>
    <row r="101" spans="1:6" x14ac:dyDescent="0.25">
      <c r="A101" t="s">
        <v>48</v>
      </c>
      <c r="B101" t="s">
        <v>7</v>
      </c>
      <c r="C101">
        <v>1043293</v>
      </c>
      <c r="D101">
        <v>10</v>
      </c>
      <c r="E101">
        <v>1073456</v>
      </c>
      <c r="F101">
        <f t="shared" si="1"/>
        <v>0.97190103739696831</v>
      </c>
    </row>
    <row r="102" spans="1:6" x14ac:dyDescent="0.25">
      <c r="A102" t="s">
        <v>44</v>
      </c>
      <c r="B102" t="s">
        <v>7</v>
      </c>
      <c r="C102">
        <v>1028181</v>
      </c>
      <c r="D102">
        <v>20</v>
      </c>
      <c r="E102">
        <v>1082298</v>
      </c>
      <c r="F102">
        <f t="shared" si="1"/>
        <v>0.94999805968411655</v>
      </c>
    </row>
    <row r="103" spans="1:6" x14ac:dyDescent="0.25">
      <c r="A103" t="s">
        <v>45</v>
      </c>
      <c r="B103" t="s">
        <v>7</v>
      </c>
      <c r="C103">
        <v>1030805</v>
      </c>
      <c r="D103">
        <v>20</v>
      </c>
      <c r="E103">
        <v>1082135</v>
      </c>
      <c r="F103">
        <f t="shared" si="1"/>
        <v>0.95256599222832639</v>
      </c>
    </row>
    <row r="104" spans="1:6" x14ac:dyDescent="0.25">
      <c r="A104" t="s">
        <v>46</v>
      </c>
      <c r="B104" t="s">
        <v>7</v>
      </c>
      <c r="C104">
        <v>1043511</v>
      </c>
      <c r="D104">
        <v>20</v>
      </c>
      <c r="E104">
        <v>1082784</v>
      </c>
      <c r="F104">
        <f t="shared" si="1"/>
        <v>0.96372960812128738</v>
      </c>
    </row>
    <row r="105" spans="1:6" x14ac:dyDescent="0.25">
      <c r="A105" t="s">
        <v>47</v>
      </c>
      <c r="B105" t="s">
        <v>7</v>
      </c>
      <c r="C105">
        <v>1040432</v>
      </c>
      <c r="D105">
        <v>20</v>
      </c>
      <c r="E105">
        <v>1084688</v>
      </c>
      <c r="F105">
        <f t="shared" si="1"/>
        <v>0.95919932736418212</v>
      </c>
    </row>
    <row r="106" spans="1:6" x14ac:dyDescent="0.25">
      <c r="A106" t="s">
        <v>48</v>
      </c>
      <c r="B106" t="s">
        <v>7</v>
      </c>
      <c r="C106">
        <v>1030109</v>
      </c>
      <c r="D106">
        <v>20</v>
      </c>
      <c r="E106">
        <v>1073456</v>
      </c>
      <c r="F106">
        <f t="shared" si="1"/>
        <v>0.95961921122058103</v>
      </c>
    </row>
    <row r="107" spans="1:6" x14ac:dyDescent="0.25">
      <c r="A107" t="s">
        <v>44</v>
      </c>
      <c r="B107" t="s">
        <v>7</v>
      </c>
      <c r="C107">
        <v>1020229</v>
      </c>
      <c r="D107">
        <v>30</v>
      </c>
      <c r="E107">
        <v>1082298</v>
      </c>
      <c r="F107">
        <f t="shared" si="1"/>
        <v>0.94265073020554413</v>
      </c>
    </row>
    <row r="108" spans="1:6" x14ac:dyDescent="0.25">
      <c r="A108" t="s">
        <v>45</v>
      </c>
      <c r="B108" t="s">
        <v>7</v>
      </c>
      <c r="C108">
        <v>1020357</v>
      </c>
      <c r="D108">
        <v>30</v>
      </c>
      <c r="E108">
        <v>1082135</v>
      </c>
      <c r="F108">
        <f t="shared" si="1"/>
        <v>0.94291100463435706</v>
      </c>
    </row>
    <row r="109" spans="1:6" x14ac:dyDescent="0.25">
      <c r="A109" t="s">
        <v>46</v>
      </c>
      <c r="B109" t="s">
        <v>7</v>
      </c>
      <c r="C109">
        <v>1034735</v>
      </c>
      <c r="D109">
        <v>30</v>
      </c>
      <c r="E109">
        <v>1082784</v>
      </c>
      <c r="F109">
        <f t="shared" si="1"/>
        <v>0.95562457516919352</v>
      </c>
    </row>
    <row r="110" spans="1:6" x14ac:dyDescent="0.25">
      <c r="A110" t="s">
        <v>47</v>
      </c>
      <c r="B110" t="s">
        <v>7</v>
      </c>
      <c r="C110">
        <v>1032325</v>
      </c>
      <c r="D110">
        <v>30</v>
      </c>
      <c r="E110">
        <v>1084688</v>
      </c>
      <c r="F110">
        <f t="shared" si="1"/>
        <v>0.95172528874662576</v>
      </c>
    </row>
    <row r="111" spans="1:6" x14ac:dyDescent="0.25">
      <c r="A111" t="s">
        <v>48</v>
      </c>
      <c r="B111" t="s">
        <v>7</v>
      </c>
      <c r="C111">
        <v>1022792</v>
      </c>
      <c r="D111">
        <v>30</v>
      </c>
      <c r="E111">
        <v>1073456</v>
      </c>
      <c r="F111">
        <f t="shared" si="1"/>
        <v>0.95280290948115243</v>
      </c>
    </row>
    <row r="112" spans="1:6" x14ac:dyDescent="0.25">
      <c r="A112" t="s">
        <v>44</v>
      </c>
      <c r="B112" t="s">
        <v>7</v>
      </c>
      <c r="C112">
        <v>1015124</v>
      </c>
      <c r="D112">
        <v>60</v>
      </c>
      <c r="E112">
        <v>1082298</v>
      </c>
      <c r="F112">
        <f t="shared" si="1"/>
        <v>0.93793391468893039</v>
      </c>
    </row>
    <row r="113" spans="1:6" x14ac:dyDescent="0.25">
      <c r="A113" t="s">
        <v>45</v>
      </c>
      <c r="B113" t="s">
        <v>7</v>
      </c>
      <c r="C113">
        <v>1013671</v>
      </c>
      <c r="D113">
        <v>60</v>
      </c>
      <c r="E113">
        <v>1082135</v>
      </c>
      <c r="F113">
        <f t="shared" si="1"/>
        <v>0.93673247792558234</v>
      </c>
    </row>
    <row r="114" spans="1:6" x14ac:dyDescent="0.25">
      <c r="A114" t="s">
        <v>46</v>
      </c>
      <c r="B114" t="s">
        <v>7</v>
      </c>
      <c r="C114">
        <v>1021769</v>
      </c>
      <c r="D114">
        <v>60</v>
      </c>
      <c r="E114">
        <v>1082784</v>
      </c>
      <c r="F114">
        <f t="shared" si="1"/>
        <v>0.94364988769689984</v>
      </c>
    </row>
    <row r="115" spans="1:6" x14ac:dyDescent="0.25">
      <c r="A115" t="s">
        <v>47</v>
      </c>
      <c r="B115" t="s">
        <v>7</v>
      </c>
      <c r="C115">
        <v>1017289</v>
      </c>
      <c r="D115">
        <v>60</v>
      </c>
      <c r="E115">
        <v>1084688</v>
      </c>
      <c r="F115">
        <f t="shared" si="1"/>
        <v>0.93786323809242844</v>
      </c>
    </row>
    <row r="116" spans="1:6" x14ac:dyDescent="0.25">
      <c r="A116" t="s">
        <v>48</v>
      </c>
      <c r="B116" t="s">
        <v>7</v>
      </c>
      <c r="C116">
        <v>1007749</v>
      </c>
      <c r="D116">
        <v>60</v>
      </c>
      <c r="E116">
        <v>1073456</v>
      </c>
      <c r="F116">
        <f t="shared" si="1"/>
        <v>0.93878929364594355</v>
      </c>
    </row>
    <row r="117" spans="1:6" x14ac:dyDescent="0.25">
      <c r="A117" t="s">
        <v>44</v>
      </c>
      <c r="B117" t="s">
        <v>7</v>
      </c>
      <c r="C117">
        <v>1001442</v>
      </c>
      <c r="D117">
        <v>90</v>
      </c>
      <c r="E117">
        <v>1082298</v>
      </c>
      <c r="F117">
        <f t="shared" si="1"/>
        <v>0.92529229472843888</v>
      </c>
    </row>
    <row r="118" spans="1:6" x14ac:dyDescent="0.25">
      <c r="A118" t="s">
        <v>45</v>
      </c>
      <c r="B118" t="s">
        <v>7</v>
      </c>
      <c r="C118">
        <v>998307</v>
      </c>
      <c r="D118">
        <v>90</v>
      </c>
      <c r="E118">
        <v>1082135</v>
      </c>
      <c r="F118">
        <f t="shared" si="1"/>
        <v>0.92253461906324075</v>
      </c>
    </row>
    <row r="119" spans="1:6" x14ac:dyDescent="0.25">
      <c r="A119" t="s">
        <v>46</v>
      </c>
      <c r="B119" t="s">
        <v>7</v>
      </c>
      <c r="C119">
        <v>1007324</v>
      </c>
      <c r="D119">
        <v>90</v>
      </c>
      <c r="E119">
        <v>1082784</v>
      </c>
      <c r="F119">
        <f t="shared" si="1"/>
        <v>0.93030927682714193</v>
      </c>
    </row>
    <row r="120" spans="1:6" x14ac:dyDescent="0.25">
      <c r="A120" t="s">
        <v>47</v>
      </c>
      <c r="B120" t="s">
        <v>7</v>
      </c>
      <c r="C120">
        <v>1008914</v>
      </c>
      <c r="D120">
        <v>90</v>
      </c>
      <c r="E120">
        <v>1084688</v>
      </c>
      <c r="F120">
        <f t="shared" si="1"/>
        <v>0.93014212381809336</v>
      </c>
    </row>
    <row r="121" spans="1:6" x14ac:dyDescent="0.25">
      <c r="A121" t="s">
        <v>48</v>
      </c>
      <c r="B121" t="s">
        <v>7</v>
      </c>
      <c r="C121">
        <v>997936</v>
      </c>
      <c r="D121">
        <v>90</v>
      </c>
      <c r="E121">
        <v>1073456</v>
      </c>
      <c r="F121">
        <f t="shared" si="1"/>
        <v>0.92964779180516011</v>
      </c>
    </row>
    <row r="122" spans="1:6" x14ac:dyDescent="0.25">
      <c r="A122" t="s">
        <v>44</v>
      </c>
      <c r="B122" t="s">
        <v>7</v>
      </c>
      <c r="C122">
        <v>980965</v>
      </c>
      <c r="D122">
        <v>120</v>
      </c>
      <c r="E122">
        <v>1082298</v>
      </c>
      <c r="F122">
        <f t="shared" si="1"/>
        <v>0.90637236694514822</v>
      </c>
    </row>
    <row r="123" spans="1:6" x14ac:dyDescent="0.25">
      <c r="A123" t="s">
        <v>45</v>
      </c>
      <c r="B123" t="s">
        <v>7</v>
      </c>
      <c r="C123">
        <v>985381</v>
      </c>
      <c r="D123">
        <v>120</v>
      </c>
      <c r="E123">
        <v>1082135</v>
      </c>
      <c r="F123">
        <f t="shared" si="1"/>
        <v>0.91058971385270782</v>
      </c>
    </row>
    <row r="124" spans="1:6" x14ac:dyDescent="0.25">
      <c r="A124" t="s">
        <v>46</v>
      </c>
      <c r="B124" t="s">
        <v>7</v>
      </c>
      <c r="C124">
        <v>999285</v>
      </c>
      <c r="D124">
        <v>120</v>
      </c>
      <c r="E124">
        <v>1082784</v>
      </c>
      <c r="F124">
        <f t="shared" si="1"/>
        <v>0.92288489671070129</v>
      </c>
    </row>
    <row r="125" spans="1:6" x14ac:dyDescent="0.25">
      <c r="A125" t="s">
        <v>47</v>
      </c>
      <c r="B125" t="s">
        <v>7</v>
      </c>
      <c r="C125">
        <v>990016</v>
      </c>
      <c r="D125">
        <v>120</v>
      </c>
      <c r="E125">
        <v>1084688</v>
      </c>
      <c r="F125">
        <f t="shared" si="1"/>
        <v>0.91271960231882343</v>
      </c>
    </row>
    <row r="126" spans="1:6" x14ac:dyDescent="0.25">
      <c r="A126" t="s">
        <v>48</v>
      </c>
      <c r="B126" t="s">
        <v>7</v>
      </c>
      <c r="C126">
        <v>983653</v>
      </c>
      <c r="D126">
        <v>120</v>
      </c>
      <c r="E126">
        <v>1073456</v>
      </c>
      <c r="F126">
        <f t="shared" si="1"/>
        <v>0.91634216959055614</v>
      </c>
    </row>
    <row r="127" spans="1:6" x14ac:dyDescent="0.25">
      <c r="A127" t="s">
        <v>44</v>
      </c>
      <c r="B127" t="s">
        <v>7</v>
      </c>
      <c r="C127">
        <v>983494</v>
      </c>
      <c r="D127">
        <v>150</v>
      </c>
      <c r="E127">
        <v>1082298</v>
      </c>
      <c r="F127">
        <f t="shared" si="1"/>
        <v>0.90870906164475962</v>
      </c>
    </row>
    <row r="128" spans="1:6" x14ac:dyDescent="0.25">
      <c r="A128" t="s">
        <v>45</v>
      </c>
      <c r="B128" t="s">
        <v>7</v>
      </c>
      <c r="C128">
        <v>983077</v>
      </c>
      <c r="D128">
        <v>150</v>
      </c>
      <c r="E128">
        <v>1082135</v>
      </c>
      <c r="F128">
        <f t="shared" si="1"/>
        <v>0.90846058948282793</v>
      </c>
    </row>
    <row r="129" spans="1:6" x14ac:dyDescent="0.25">
      <c r="A129" t="s">
        <v>46</v>
      </c>
      <c r="B129" t="s">
        <v>7</v>
      </c>
      <c r="C129">
        <v>992077</v>
      </c>
      <c r="D129">
        <v>150</v>
      </c>
      <c r="E129">
        <v>1082784</v>
      </c>
      <c r="F129">
        <f t="shared" si="1"/>
        <v>0.91622798268167982</v>
      </c>
    </row>
    <row r="130" spans="1:6" x14ac:dyDescent="0.25">
      <c r="A130" t="s">
        <v>47</v>
      </c>
      <c r="B130" t="s">
        <v>7</v>
      </c>
      <c r="C130">
        <v>982644</v>
      </c>
      <c r="D130">
        <v>150</v>
      </c>
      <c r="E130">
        <v>1084688</v>
      </c>
      <c r="F130">
        <f t="shared" si="1"/>
        <v>0.90592317790922372</v>
      </c>
    </row>
    <row r="131" spans="1:6" x14ac:dyDescent="0.25">
      <c r="A131" t="s">
        <v>48</v>
      </c>
      <c r="B131" t="s">
        <v>7</v>
      </c>
      <c r="C131">
        <v>967927</v>
      </c>
      <c r="D131">
        <v>150</v>
      </c>
      <c r="E131">
        <v>1073456</v>
      </c>
      <c r="F131">
        <f t="shared" ref="F131:F194" si="2">C131/E131</f>
        <v>0.90169229106735627</v>
      </c>
    </row>
    <row r="132" spans="1:6" x14ac:dyDescent="0.25">
      <c r="A132" t="s">
        <v>44</v>
      </c>
      <c r="B132" t="s">
        <v>7</v>
      </c>
      <c r="C132">
        <v>973136</v>
      </c>
      <c r="D132">
        <v>180</v>
      </c>
      <c r="E132">
        <v>1082298</v>
      </c>
      <c r="F132">
        <f t="shared" si="2"/>
        <v>0.89913868453974788</v>
      </c>
    </row>
    <row r="133" spans="1:6" x14ac:dyDescent="0.25">
      <c r="A133" t="s">
        <v>45</v>
      </c>
      <c r="B133" t="s">
        <v>7</v>
      </c>
      <c r="C133">
        <v>976838</v>
      </c>
      <c r="D133">
        <v>180</v>
      </c>
      <c r="E133">
        <v>1082135</v>
      </c>
      <c r="F133">
        <f t="shared" si="2"/>
        <v>0.90269513508018873</v>
      </c>
    </row>
    <row r="134" spans="1:6" x14ac:dyDescent="0.25">
      <c r="A134" t="s">
        <v>46</v>
      </c>
      <c r="B134" t="s">
        <v>7</v>
      </c>
      <c r="C134">
        <v>977938</v>
      </c>
      <c r="D134">
        <v>180</v>
      </c>
      <c r="E134">
        <v>1082784</v>
      </c>
      <c r="F134">
        <f t="shared" si="2"/>
        <v>0.90316997665277654</v>
      </c>
    </row>
    <row r="135" spans="1:6" x14ac:dyDescent="0.25">
      <c r="A135" t="s">
        <v>47</v>
      </c>
      <c r="B135" t="s">
        <v>7</v>
      </c>
      <c r="C135">
        <v>973592</v>
      </c>
      <c r="D135">
        <v>180</v>
      </c>
      <c r="E135">
        <v>1084688</v>
      </c>
      <c r="F135">
        <f t="shared" si="2"/>
        <v>0.89757792102429457</v>
      </c>
    </row>
    <row r="136" spans="1:6" x14ac:dyDescent="0.25">
      <c r="A136" t="s">
        <v>48</v>
      </c>
      <c r="B136" t="s">
        <v>7</v>
      </c>
      <c r="C136">
        <v>962031</v>
      </c>
      <c r="D136">
        <v>180</v>
      </c>
      <c r="E136">
        <v>1073456</v>
      </c>
      <c r="F136">
        <f t="shared" si="2"/>
        <v>0.89619975108434813</v>
      </c>
    </row>
    <row r="137" spans="1:6" x14ac:dyDescent="0.25">
      <c r="A137" t="s">
        <v>49</v>
      </c>
      <c r="B137" t="s">
        <v>63</v>
      </c>
      <c r="C137">
        <v>2349393</v>
      </c>
      <c r="D137">
        <v>2</v>
      </c>
      <c r="E137">
        <v>2349393</v>
      </c>
      <c r="F137">
        <f t="shared" si="2"/>
        <v>1</v>
      </c>
    </row>
    <row r="138" spans="1:6" x14ac:dyDescent="0.25">
      <c r="A138" t="s">
        <v>50</v>
      </c>
      <c r="B138" t="s">
        <v>63</v>
      </c>
      <c r="C138">
        <v>2375056</v>
      </c>
      <c r="D138">
        <v>2</v>
      </c>
      <c r="E138">
        <v>2375056</v>
      </c>
      <c r="F138">
        <f t="shared" si="2"/>
        <v>1</v>
      </c>
    </row>
    <row r="139" spans="1:6" x14ac:dyDescent="0.25">
      <c r="A139" t="s">
        <v>51</v>
      </c>
      <c r="B139" t="s">
        <v>63</v>
      </c>
      <c r="C139">
        <v>2356930</v>
      </c>
      <c r="D139">
        <v>2</v>
      </c>
      <c r="E139">
        <v>2356930</v>
      </c>
      <c r="F139">
        <f t="shared" si="2"/>
        <v>1</v>
      </c>
    </row>
    <row r="140" spans="1:6" x14ac:dyDescent="0.25">
      <c r="A140" t="s">
        <v>52</v>
      </c>
      <c r="B140" t="s">
        <v>63</v>
      </c>
      <c r="C140">
        <v>2359766</v>
      </c>
      <c r="D140">
        <v>2</v>
      </c>
      <c r="E140">
        <v>2359766</v>
      </c>
      <c r="F140">
        <f t="shared" si="2"/>
        <v>1</v>
      </c>
    </row>
    <row r="141" spans="1:6" x14ac:dyDescent="0.25">
      <c r="A141" t="s">
        <v>53</v>
      </c>
      <c r="B141" t="s">
        <v>63</v>
      </c>
      <c r="C141">
        <v>2371542</v>
      </c>
      <c r="D141">
        <v>2</v>
      </c>
      <c r="E141">
        <v>2371542</v>
      </c>
      <c r="F141">
        <f t="shared" si="2"/>
        <v>1</v>
      </c>
    </row>
    <row r="142" spans="1:6" x14ac:dyDescent="0.25">
      <c r="A142" t="s">
        <v>49</v>
      </c>
      <c r="B142" t="s">
        <v>63</v>
      </c>
      <c r="C142">
        <v>2302111</v>
      </c>
      <c r="D142">
        <v>10</v>
      </c>
      <c r="E142">
        <v>2349393</v>
      </c>
      <c r="F142">
        <f t="shared" si="2"/>
        <v>0.97987480170409968</v>
      </c>
    </row>
    <row r="143" spans="1:6" x14ac:dyDescent="0.25">
      <c r="A143" t="s">
        <v>50</v>
      </c>
      <c r="B143" t="s">
        <v>63</v>
      </c>
      <c r="C143">
        <v>2333263</v>
      </c>
      <c r="D143">
        <v>10</v>
      </c>
      <c r="E143">
        <v>2375056</v>
      </c>
      <c r="F143">
        <f t="shared" si="2"/>
        <v>0.9824033622786158</v>
      </c>
    </row>
    <row r="144" spans="1:6" x14ac:dyDescent="0.25">
      <c r="A144" t="s">
        <v>51</v>
      </c>
      <c r="B144" t="s">
        <v>63</v>
      </c>
      <c r="C144">
        <v>2324746</v>
      </c>
      <c r="D144">
        <v>10</v>
      </c>
      <c r="E144">
        <v>2356930</v>
      </c>
      <c r="F144">
        <f t="shared" si="2"/>
        <v>0.9863449487256728</v>
      </c>
    </row>
    <row r="145" spans="1:6" x14ac:dyDescent="0.25">
      <c r="A145" t="s">
        <v>52</v>
      </c>
      <c r="B145" t="s">
        <v>63</v>
      </c>
      <c r="C145">
        <v>2328160</v>
      </c>
      <c r="D145">
        <v>10</v>
      </c>
      <c r="E145">
        <v>2359766</v>
      </c>
      <c r="F145">
        <f t="shared" si="2"/>
        <v>0.98660629909914799</v>
      </c>
    </row>
    <row r="146" spans="1:6" x14ac:dyDescent="0.25">
      <c r="A146" t="s">
        <v>53</v>
      </c>
      <c r="B146" t="s">
        <v>63</v>
      </c>
      <c r="C146">
        <v>2320570</v>
      </c>
      <c r="D146">
        <v>10</v>
      </c>
      <c r="E146">
        <v>2371542</v>
      </c>
      <c r="F146">
        <f t="shared" si="2"/>
        <v>0.9785068111802363</v>
      </c>
    </row>
    <row r="147" spans="1:6" x14ac:dyDescent="0.25">
      <c r="A147" t="s">
        <v>49</v>
      </c>
      <c r="B147" t="s">
        <v>63</v>
      </c>
      <c r="C147">
        <v>2293758</v>
      </c>
      <c r="D147">
        <v>20</v>
      </c>
      <c r="E147">
        <v>2349393</v>
      </c>
      <c r="F147">
        <f t="shared" si="2"/>
        <v>0.97631941527024213</v>
      </c>
    </row>
    <row r="148" spans="1:6" x14ac:dyDescent="0.25">
      <c r="A148" t="s">
        <v>50</v>
      </c>
      <c r="B148" t="s">
        <v>63</v>
      </c>
      <c r="C148">
        <v>2315378</v>
      </c>
      <c r="D148">
        <v>20</v>
      </c>
      <c r="E148">
        <v>2375056</v>
      </c>
      <c r="F148">
        <f t="shared" si="2"/>
        <v>0.97487301352052336</v>
      </c>
    </row>
    <row r="149" spans="1:6" x14ac:dyDescent="0.25">
      <c r="A149" t="s">
        <v>51</v>
      </c>
      <c r="B149" t="s">
        <v>63</v>
      </c>
      <c r="C149">
        <v>2309555</v>
      </c>
      <c r="D149">
        <v>20</v>
      </c>
      <c r="E149">
        <v>2356930</v>
      </c>
      <c r="F149">
        <f t="shared" si="2"/>
        <v>0.97989970003351823</v>
      </c>
    </row>
    <row r="150" spans="1:6" x14ac:dyDescent="0.25">
      <c r="A150" t="s">
        <v>52</v>
      </c>
      <c r="B150" t="s">
        <v>63</v>
      </c>
      <c r="C150">
        <v>2328089</v>
      </c>
      <c r="D150">
        <v>20</v>
      </c>
      <c r="E150">
        <v>2359766</v>
      </c>
      <c r="F150">
        <f t="shared" si="2"/>
        <v>0.98657621137011042</v>
      </c>
    </row>
    <row r="151" spans="1:6" x14ac:dyDescent="0.25">
      <c r="A151" t="s">
        <v>53</v>
      </c>
      <c r="B151" t="s">
        <v>63</v>
      </c>
      <c r="C151">
        <v>2338307</v>
      </c>
      <c r="D151">
        <v>20</v>
      </c>
      <c r="E151">
        <v>2371542</v>
      </c>
      <c r="F151">
        <f t="shared" si="2"/>
        <v>0.98598591127629198</v>
      </c>
    </row>
    <row r="152" spans="1:6" x14ac:dyDescent="0.25">
      <c r="A152" t="s">
        <v>49</v>
      </c>
      <c r="B152" t="s">
        <v>63</v>
      </c>
      <c r="C152">
        <v>2331733</v>
      </c>
      <c r="D152">
        <v>30</v>
      </c>
      <c r="E152">
        <v>2349393</v>
      </c>
      <c r="F152">
        <f t="shared" si="2"/>
        <v>0.99248316480043997</v>
      </c>
    </row>
    <row r="153" spans="1:6" x14ac:dyDescent="0.25">
      <c r="A153" t="s">
        <v>50</v>
      </c>
      <c r="B153" t="s">
        <v>63</v>
      </c>
      <c r="C153">
        <v>2349123</v>
      </c>
      <c r="D153">
        <v>30</v>
      </c>
      <c r="E153">
        <v>2375056</v>
      </c>
      <c r="F153">
        <f t="shared" si="2"/>
        <v>0.98908109956144197</v>
      </c>
    </row>
    <row r="154" spans="1:6" x14ac:dyDescent="0.25">
      <c r="A154" t="s">
        <v>51</v>
      </c>
      <c r="B154" t="s">
        <v>63</v>
      </c>
      <c r="C154">
        <v>2342195</v>
      </c>
      <c r="D154">
        <v>30</v>
      </c>
      <c r="E154">
        <v>2356930</v>
      </c>
      <c r="F154">
        <f t="shared" si="2"/>
        <v>0.99374822332440926</v>
      </c>
    </row>
    <row r="155" spans="1:6" x14ac:dyDescent="0.25">
      <c r="A155" t="s">
        <v>52</v>
      </c>
      <c r="B155" t="s">
        <v>63</v>
      </c>
      <c r="C155">
        <v>2358407</v>
      </c>
      <c r="D155">
        <v>30</v>
      </c>
      <c r="E155">
        <v>2359766</v>
      </c>
      <c r="F155">
        <f t="shared" si="2"/>
        <v>0.99942409543997157</v>
      </c>
    </row>
    <row r="156" spans="1:6" x14ac:dyDescent="0.25">
      <c r="A156" t="s">
        <v>53</v>
      </c>
      <c r="B156" t="s">
        <v>63</v>
      </c>
      <c r="C156">
        <v>2366479</v>
      </c>
      <c r="D156">
        <v>30</v>
      </c>
      <c r="E156">
        <v>2371542</v>
      </c>
      <c r="F156">
        <f t="shared" si="2"/>
        <v>0.99786510211499524</v>
      </c>
    </row>
    <row r="157" spans="1:6" x14ac:dyDescent="0.25">
      <c r="A157" t="s">
        <v>49</v>
      </c>
      <c r="B157" t="s">
        <v>63</v>
      </c>
      <c r="C157">
        <v>2405954</v>
      </c>
      <c r="D157">
        <v>60</v>
      </c>
      <c r="E157">
        <v>2349393</v>
      </c>
      <c r="F157">
        <f t="shared" si="2"/>
        <v>1.0240747290895988</v>
      </c>
    </row>
    <row r="158" spans="1:6" x14ac:dyDescent="0.25">
      <c r="A158" t="s">
        <v>50</v>
      </c>
      <c r="B158" t="s">
        <v>63</v>
      </c>
      <c r="C158">
        <v>2429322</v>
      </c>
      <c r="D158">
        <v>60</v>
      </c>
      <c r="E158">
        <v>2375056</v>
      </c>
      <c r="F158">
        <f t="shared" si="2"/>
        <v>1.0228483033663207</v>
      </c>
    </row>
    <row r="159" spans="1:6" x14ac:dyDescent="0.25">
      <c r="A159" t="s">
        <v>51</v>
      </c>
      <c r="B159" t="s">
        <v>63</v>
      </c>
      <c r="C159">
        <v>2414616</v>
      </c>
      <c r="D159">
        <v>60</v>
      </c>
      <c r="E159">
        <v>2356930</v>
      </c>
      <c r="F159">
        <f t="shared" si="2"/>
        <v>1.0244750586568121</v>
      </c>
    </row>
    <row r="160" spans="1:6" x14ac:dyDescent="0.25">
      <c r="A160" t="s">
        <v>52</v>
      </c>
      <c r="B160" t="s">
        <v>63</v>
      </c>
      <c r="C160">
        <v>2425858</v>
      </c>
      <c r="D160">
        <v>60</v>
      </c>
      <c r="E160">
        <v>2359766</v>
      </c>
      <c r="F160">
        <f t="shared" si="2"/>
        <v>1.0280078617964663</v>
      </c>
    </row>
    <row r="161" spans="1:6" x14ac:dyDescent="0.25">
      <c r="A161" t="s">
        <v>53</v>
      </c>
      <c r="B161" t="s">
        <v>63</v>
      </c>
      <c r="C161">
        <v>2409038</v>
      </c>
      <c r="D161">
        <v>60</v>
      </c>
      <c r="E161">
        <v>2371542</v>
      </c>
      <c r="F161">
        <f t="shared" si="2"/>
        <v>1.0158108100130632</v>
      </c>
    </row>
    <row r="162" spans="1:6" x14ac:dyDescent="0.25">
      <c r="A162" t="s">
        <v>49</v>
      </c>
      <c r="B162" t="s">
        <v>63</v>
      </c>
      <c r="C162">
        <v>2434373</v>
      </c>
      <c r="D162">
        <v>90</v>
      </c>
      <c r="E162">
        <v>2349393</v>
      </c>
      <c r="F162">
        <f t="shared" si="2"/>
        <v>1.0361710450316315</v>
      </c>
    </row>
    <row r="163" spans="1:6" x14ac:dyDescent="0.25">
      <c r="A163" t="s">
        <v>50</v>
      </c>
      <c r="B163" t="s">
        <v>63</v>
      </c>
      <c r="C163">
        <v>2460974</v>
      </c>
      <c r="D163">
        <v>90</v>
      </c>
      <c r="E163">
        <v>2375056</v>
      </c>
      <c r="F163">
        <f t="shared" si="2"/>
        <v>1.0361751470281122</v>
      </c>
    </row>
    <row r="164" spans="1:6" x14ac:dyDescent="0.25">
      <c r="A164" t="s">
        <v>51</v>
      </c>
      <c r="B164" t="s">
        <v>63</v>
      </c>
      <c r="C164">
        <v>2437255</v>
      </c>
      <c r="D164">
        <v>90</v>
      </c>
      <c r="E164">
        <v>2356930</v>
      </c>
      <c r="F164">
        <f t="shared" si="2"/>
        <v>1.0340803502861773</v>
      </c>
    </row>
    <row r="165" spans="1:6" x14ac:dyDescent="0.25">
      <c r="A165" t="s">
        <v>52</v>
      </c>
      <c r="B165" t="s">
        <v>63</v>
      </c>
      <c r="C165">
        <v>2447412</v>
      </c>
      <c r="D165">
        <v>90</v>
      </c>
      <c r="E165">
        <v>2359766</v>
      </c>
      <c r="F165">
        <f t="shared" si="2"/>
        <v>1.0371418182989329</v>
      </c>
    </row>
    <row r="166" spans="1:6" x14ac:dyDescent="0.25">
      <c r="A166" t="s">
        <v>53</v>
      </c>
      <c r="B166" t="s">
        <v>63</v>
      </c>
      <c r="C166">
        <v>2452690</v>
      </c>
      <c r="D166">
        <v>90</v>
      </c>
      <c r="E166">
        <v>2371542</v>
      </c>
      <c r="F166">
        <f t="shared" si="2"/>
        <v>1.0342173994810129</v>
      </c>
    </row>
    <row r="167" spans="1:6" x14ac:dyDescent="0.25">
      <c r="A167" t="s">
        <v>49</v>
      </c>
      <c r="B167" t="s">
        <v>63</v>
      </c>
      <c r="C167">
        <v>2476783</v>
      </c>
      <c r="D167">
        <v>120</v>
      </c>
      <c r="E167">
        <v>2349393</v>
      </c>
      <c r="F167">
        <f t="shared" si="2"/>
        <v>1.054222516198865</v>
      </c>
    </row>
    <row r="168" spans="1:6" x14ac:dyDescent="0.25">
      <c r="A168" t="s">
        <v>50</v>
      </c>
      <c r="B168" t="s">
        <v>63</v>
      </c>
      <c r="C168">
        <v>2483311</v>
      </c>
      <c r="D168">
        <v>120</v>
      </c>
      <c r="E168">
        <v>2375056</v>
      </c>
      <c r="F168">
        <f t="shared" si="2"/>
        <v>1.045579977903679</v>
      </c>
    </row>
    <row r="169" spans="1:6" x14ac:dyDescent="0.25">
      <c r="A169" t="s">
        <v>51</v>
      </c>
      <c r="B169" t="s">
        <v>63</v>
      </c>
      <c r="C169">
        <v>2475922</v>
      </c>
      <c r="D169">
        <v>120</v>
      </c>
      <c r="E169">
        <v>2356930</v>
      </c>
      <c r="F169">
        <f t="shared" si="2"/>
        <v>1.0504860135854692</v>
      </c>
    </row>
    <row r="170" spans="1:6" x14ac:dyDescent="0.25">
      <c r="A170" t="s">
        <v>52</v>
      </c>
      <c r="B170" t="s">
        <v>63</v>
      </c>
      <c r="C170">
        <v>2468139</v>
      </c>
      <c r="D170">
        <v>120</v>
      </c>
      <c r="E170">
        <v>2359766</v>
      </c>
      <c r="F170">
        <f t="shared" si="2"/>
        <v>1.0459253163237372</v>
      </c>
    </row>
    <row r="171" spans="1:6" x14ac:dyDescent="0.25">
      <c r="A171" t="s">
        <v>53</v>
      </c>
      <c r="B171" t="s">
        <v>63</v>
      </c>
      <c r="C171">
        <v>2470354</v>
      </c>
      <c r="D171">
        <v>120</v>
      </c>
      <c r="E171">
        <v>2371542</v>
      </c>
      <c r="F171">
        <f t="shared" si="2"/>
        <v>1.0416657179168658</v>
      </c>
    </row>
    <row r="172" spans="1:6" x14ac:dyDescent="0.25">
      <c r="A172" t="s">
        <v>49</v>
      </c>
      <c r="B172" t="s">
        <v>63</v>
      </c>
      <c r="C172">
        <v>2486016</v>
      </c>
      <c r="D172">
        <v>150</v>
      </c>
      <c r="E172">
        <v>2349393</v>
      </c>
      <c r="F172">
        <f t="shared" si="2"/>
        <v>1.0581524674671288</v>
      </c>
    </row>
    <row r="173" spans="1:6" x14ac:dyDescent="0.25">
      <c r="A173" t="s">
        <v>50</v>
      </c>
      <c r="B173" t="s">
        <v>63</v>
      </c>
      <c r="C173">
        <v>2497075</v>
      </c>
      <c r="D173">
        <v>150</v>
      </c>
      <c r="E173">
        <v>2375056</v>
      </c>
      <c r="F173">
        <f t="shared" si="2"/>
        <v>1.0513752096792666</v>
      </c>
    </row>
    <row r="174" spans="1:6" x14ac:dyDescent="0.25">
      <c r="A174" t="s">
        <v>51</v>
      </c>
      <c r="B174" t="s">
        <v>63</v>
      </c>
      <c r="C174">
        <v>2493927</v>
      </c>
      <c r="D174">
        <v>150</v>
      </c>
      <c r="E174">
        <v>2356930</v>
      </c>
      <c r="F174">
        <f t="shared" si="2"/>
        <v>1.0581251882745775</v>
      </c>
    </row>
    <row r="175" spans="1:6" x14ac:dyDescent="0.25">
      <c r="A175" t="s">
        <v>52</v>
      </c>
      <c r="B175" t="s">
        <v>63</v>
      </c>
      <c r="C175">
        <v>2509491</v>
      </c>
      <c r="D175">
        <v>150</v>
      </c>
      <c r="E175">
        <v>2359766</v>
      </c>
      <c r="F175">
        <f t="shared" si="2"/>
        <v>1.063449087748531</v>
      </c>
    </row>
    <row r="176" spans="1:6" x14ac:dyDescent="0.25">
      <c r="A176" t="s">
        <v>53</v>
      </c>
      <c r="B176" t="s">
        <v>63</v>
      </c>
      <c r="C176">
        <v>2525414</v>
      </c>
      <c r="D176">
        <v>150</v>
      </c>
      <c r="E176">
        <v>2371542</v>
      </c>
      <c r="F176">
        <f t="shared" si="2"/>
        <v>1.0648826797079707</v>
      </c>
    </row>
    <row r="177" spans="1:6" x14ac:dyDescent="0.25">
      <c r="A177" t="s">
        <v>49</v>
      </c>
      <c r="B177" t="s">
        <v>63</v>
      </c>
      <c r="C177">
        <v>2517512</v>
      </c>
      <c r="D177">
        <v>180</v>
      </c>
      <c r="E177">
        <v>2349393</v>
      </c>
      <c r="F177">
        <f t="shared" si="2"/>
        <v>1.0715584834040111</v>
      </c>
    </row>
    <row r="178" spans="1:6" x14ac:dyDescent="0.25">
      <c r="A178" t="s">
        <v>50</v>
      </c>
      <c r="B178" t="s">
        <v>63</v>
      </c>
      <c r="C178">
        <v>2526450</v>
      </c>
      <c r="D178">
        <v>180</v>
      </c>
      <c r="E178">
        <v>2375056</v>
      </c>
      <c r="F178">
        <f t="shared" si="2"/>
        <v>1.0637433391044253</v>
      </c>
    </row>
    <row r="179" spans="1:6" x14ac:dyDescent="0.25">
      <c r="A179" t="s">
        <v>51</v>
      </c>
      <c r="B179" t="s">
        <v>63</v>
      </c>
      <c r="C179">
        <v>2522060</v>
      </c>
      <c r="D179">
        <v>180</v>
      </c>
      <c r="E179">
        <v>2356930</v>
      </c>
      <c r="F179">
        <f t="shared" si="2"/>
        <v>1.0700614782789477</v>
      </c>
    </row>
    <row r="180" spans="1:6" x14ac:dyDescent="0.25">
      <c r="A180" t="s">
        <v>52</v>
      </c>
      <c r="B180" t="s">
        <v>63</v>
      </c>
      <c r="C180">
        <v>2547298</v>
      </c>
      <c r="D180">
        <v>180</v>
      </c>
      <c r="E180">
        <v>2359766</v>
      </c>
      <c r="F180">
        <f t="shared" si="2"/>
        <v>1.0794705915756053</v>
      </c>
    </row>
    <row r="181" spans="1:6" x14ac:dyDescent="0.25">
      <c r="A181" t="s">
        <v>53</v>
      </c>
      <c r="B181" t="s">
        <v>63</v>
      </c>
      <c r="C181">
        <v>2548282</v>
      </c>
      <c r="D181">
        <v>180</v>
      </c>
      <c r="E181">
        <v>2371542</v>
      </c>
      <c r="F181">
        <f t="shared" si="2"/>
        <v>1.0745253510163431</v>
      </c>
    </row>
    <row r="182" spans="1:6" x14ac:dyDescent="0.25">
      <c r="A182" t="s">
        <v>55</v>
      </c>
      <c r="B182" t="s">
        <v>54</v>
      </c>
      <c r="C182">
        <v>2313522</v>
      </c>
      <c r="D182">
        <v>2</v>
      </c>
      <c r="E182">
        <v>2313522</v>
      </c>
      <c r="F182">
        <f t="shared" si="2"/>
        <v>1</v>
      </c>
    </row>
    <row r="183" spans="1:6" x14ac:dyDescent="0.25">
      <c r="A183" t="s">
        <v>56</v>
      </c>
      <c r="B183" t="s">
        <v>54</v>
      </c>
      <c r="C183">
        <v>2305533</v>
      </c>
      <c r="D183">
        <v>2</v>
      </c>
      <c r="E183">
        <v>2305533</v>
      </c>
      <c r="F183">
        <f t="shared" si="2"/>
        <v>1</v>
      </c>
    </row>
    <row r="184" spans="1:6" x14ac:dyDescent="0.25">
      <c r="A184" t="s">
        <v>57</v>
      </c>
      <c r="B184" t="s">
        <v>54</v>
      </c>
      <c r="C184">
        <v>2315428</v>
      </c>
      <c r="D184">
        <v>2</v>
      </c>
      <c r="E184">
        <v>2315428</v>
      </c>
      <c r="F184">
        <f t="shared" si="2"/>
        <v>1</v>
      </c>
    </row>
    <row r="185" spans="1:6" x14ac:dyDescent="0.25">
      <c r="A185" t="s">
        <v>58</v>
      </c>
      <c r="B185" t="s">
        <v>54</v>
      </c>
      <c r="C185">
        <v>2344041</v>
      </c>
      <c r="D185">
        <v>2</v>
      </c>
      <c r="E185">
        <v>2344041</v>
      </c>
      <c r="F185">
        <f t="shared" si="2"/>
        <v>1</v>
      </c>
    </row>
    <row r="186" spans="1:6" x14ac:dyDescent="0.25">
      <c r="A186" t="s">
        <v>59</v>
      </c>
      <c r="B186" t="s">
        <v>54</v>
      </c>
      <c r="C186">
        <v>2313563</v>
      </c>
      <c r="D186">
        <v>2</v>
      </c>
      <c r="E186">
        <v>2313563</v>
      </c>
      <c r="F186">
        <f t="shared" si="2"/>
        <v>1</v>
      </c>
    </row>
    <row r="187" spans="1:6" x14ac:dyDescent="0.25">
      <c r="A187" t="s">
        <v>55</v>
      </c>
      <c r="B187" t="s">
        <v>54</v>
      </c>
      <c r="C187">
        <v>2273790</v>
      </c>
      <c r="D187">
        <v>10</v>
      </c>
      <c r="E187">
        <v>2313522</v>
      </c>
      <c r="F187">
        <f t="shared" si="2"/>
        <v>0.9828261844927344</v>
      </c>
    </row>
    <row r="188" spans="1:6" x14ac:dyDescent="0.25">
      <c r="A188" t="s">
        <v>56</v>
      </c>
      <c r="B188" t="s">
        <v>54</v>
      </c>
      <c r="C188">
        <v>2285823</v>
      </c>
      <c r="D188">
        <v>10</v>
      </c>
      <c r="E188">
        <v>2305533</v>
      </c>
      <c r="F188">
        <f t="shared" si="2"/>
        <v>0.99145100070135628</v>
      </c>
    </row>
    <row r="189" spans="1:6" x14ac:dyDescent="0.25">
      <c r="A189" t="s">
        <v>57</v>
      </c>
      <c r="B189" t="s">
        <v>54</v>
      </c>
      <c r="C189">
        <v>2278107</v>
      </c>
      <c r="D189">
        <v>10</v>
      </c>
      <c r="E189">
        <v>2315428</v>
      </c>
      <c r="F189">
        <f t="shared" si="2"/>
        <v>0.9838815977002956</v>
      </c>
    </row>
    <row r="190" spans="1:6" x14ac:dyDescent="0.25">
      <c r="A190" t="s">
        <v>58</v>
      </c>
      <c r="B190" t="s">
        <v>54</v>
      </c>
      <c r="C190">
        <v>2294003</v>
      </c>
      <c r="D190">
        <v>10</v>
      </c>
      <c r="E190">
        <v>2344041</v>
      </c>
      <c r="F190">
        <f t="shared" si="2"/>
        <v>0.97865310376396997</v>
      </c>
    </row>
    <row r="191" spans="1:6" x14ac:dyDescent="0.25">
      <c r="A191" t="s">
        <v>59</v>
      </c>
      <c r="B191" t="s">
        <v>54</v>
      </c>
      <c r="C191">
        <v>2271162</v>
      </c>
      <c r="D191">
        <v>10</v>
      </c>
      <c r="E191">
        <v>2313563</v>
      </c>
      <c r="F191">
        <f t="shared" si="2"/>
        <v>0.98167285697428597</v>
      </c>
    </row>
    <row r="192" spans="1:6" x14ac:dyDescent="0.25">
      <c r="A192" t="s">
        <v>55</v>
      </c>
      <c r="B192" t="s">
        <v>54</v>
      </c>
      <c r="C192">
        <v>2188648</v>
      </c>
      <c r="D192">
        <v>20</v>
      </c>
      <c r="E192">
        <v>2313522</v>
      </c>
      <c r="F192">
        <f t="shared" si="2"/>
        <v>0.94602428678006956</v>
      </c>
    </row>
    <row r="193" spans="1:6" x14ac:dyDescent="0.25">
      <c r="A193" t="s">
        <v>56</v>
      </c>
      <c r="B193" t="s">
        <v>54</v>
      </c>
      <c r="C193">
        <v>2259723</v>
      </c>
      <c r="D193">
        <v>20</v>
      </c>
      <c r="E193">
        <v>2305533</v>
      </c>
      <c r="F193">
        <f t="shared" si="2"/>
        <v>0.98013040802278695</v>
      </c>
    </row>
    <row r="194" spans="1:6" x14ac:dyDescent="0.25">
      <c r="A194" t="s">
        <v>57</v>
      </c>
      <c r="B194" t="s">
        <v>54</v>
      </c>
      <c r="C194">
        <v>2264516</v>
      </c>
      <c r="D194">
        <v>20</v>
      </c>
      <c r="E194">
        <v>2315428</v>
      </c>
      <c r="F194">
        <f t="shared" si="2"/>
        <v>0.97801184057547896</v>
      </c>
    </row>
    <row r="195" spans="1:6" x14ac:dyDescent="0.25">
      <c r="A195" t="s">
        <v>58</v>
      </c>
      <c r="B195" t="s">
        <v>54</v>
      </c>
      <c r="C195">
        <v>2203954</v>
      </c>
      <c r="D195">
        <v>20</v>
      </c>
      <c r="E195">
        <v>2344041</v>
      </c>
      <c r="F195">
        <f t="shared" ref="F195:F258" si="3">C195/E195</f>
        <v>0.94023696684486324</v>
      </c>
    </row>
    <row r="196" spans="1:6" x14ac:dyDescent="0.25">
      <c r="A196" t="s">
        <v>59</v>
      </c>
      <c r="B196" t="s">
        <v>54</v>
      </c>
      <c r="C196">
        <v>2224326</v>
      </c>
      <c r="D196">
        <v>20</v>
      </c>
      <c r="E196">
        <v>2313563</v>
      </c>
      <c r="F196">
        <f t="shared" si="3"/>
        <v>0.96142875728908184</v>
      </c>
    </row>
    <row r="197" spans="1:6" x14ac:dyDescent="0.25">
      <c r="A197" t="s">
        <v>55</v>
      </c>
      <c r="B197" t="s">
        <v>54</v>
      </c>
      <c r="C197">
        <v>2159083</v>
      </c>
      <c r="D197">
        <v>30</v>
      </c>
      <c r="E197">
        <v>2313522</v>
      </c>
      <c r="F197">
        <f t="shared" si="3"/>
        <v>0.93324506963841281</v>
      </c>
    </row>
    <row r="198" spans="1:6" x14ac:dyDescent="0.25">
      <c r="A198" t="s">
        <v>56</v>
      </c>
      <c r="B198" t="s">
        <v>54</v>
      </c>
      <c r="C198">
        <v>2155903</v>
      </c>
      <c r="D198">
        <v>30</v>
      </c>
      <c r="E198">
        <v>2305533</v>
      </c>
      <c r="F198">
        <f t="shared" si="3"/>
        <v>0.93509960603469999</v>
      </c>
    </row>
    <row r="199" spans="1:6" x14ac:dyDescent="0.25">
      <c r="A199" t="s">
        <v>57</v>
      </c>
      <c r="B199" t="s">
        <v>54</v>
      </c>
      <c r="C199">
        <v>2173174</v>
      </c>
      <c r="D199">
        <v>30</v>
      </c>
      <c r="E199">
        <v>2315428</v>
      </c>
      <c r="F199">
        <f t="shared" si="3"/>
        <v>0.93856254653567284</v>
      </c>
    </row>
    <row r="200" spans="1:6" x14ac:dyDescent="0.25">
      <c r="A200" t="s">
        <v>58</v>
      </c>
      <c r="B200" t="s">
        <v>54</v>
      </c>
      <c r="C200">
        <v>2187291</v>
      </c>
      <c r="D200">
        <v>30</v>
      </c>
      <c r="E200">
        <v>2344041</v>
      </c>
      <c r="F200">
        <f t="shared" si="3"/>
        <v>0.93312830278992565</v>
      </c>
    </row>
    <row r="201" spans="1:6" x14ac:dyDescent="0.25">
      <c r="A201" t="s">
        <v>59</v>
      </c>
      <c r="B201" t="s">
        <v>54</v>
      </c>
      <c r="C201">
        <v>2154172</v>
      </c>
      <c r="D201">
        <v>30</v>
      </c>
      <c r="E201">
        <v>2313563</v>
      </c>
      <c r="F201">
        <f t="shared" si="3"/>
        <v>0.93110583113578493</v>
      </c>
    </row>
    <row r="202" spans="1:6" x14ac:dyDescent="0.25">
      <c r="A202" t="s">
        <v>55</v>
      </c>
      <c r="B202" t="s">
        <v>54</v>
      </c>
      <c r="C202">
        <v>2061291</v>
      </c>
      <c r="D202">
        <v>60</v>
      </c>
      <c r="E202">
        <v>2313522</v>
      </c>
      <c r="F202">
        <f t="shared" si="3"/>
        <v>0.89097531815128617</v>
      </c>
    </row>
    <row r="203" spans="1:6" x14ac:dyDescent="0.25">
      <c r="A203" t="s">
        <v>56</v>
      </c>
      <c r="B203" t="s">
        <v>54</v>
      </c>
      <c r="C203">
        <v>2055274</v>
      </c>
      <c r="D203">
        <v>60</v>
      </c>
      <c r="E203">
        <v>2305533</v>
      </c>
      <c r="F203">
        <f t="shared" si="3"/>
        <v>0.89145286577984351</v>
      </c>
    </row>
    <row r="204" spans="1:6" x14ac:dyDescent="0.25">
      <c r="A204" t="s">
        <v>57</v>
      </c>
      <c r="B204" t="s">
        <v>54</v>
      </c>
      <c r="C204">
        <v>2080690</v>
      </c>
      <c r="D204">
        <v>60</v>
      </c>
      <c r="E204">
        <v>2315428</v>
      </c>
      <c r="F204">
        <f t="shared" si="3"/>
        <v>0.89862003914611033</v>
      </c>
    </row>
    <row r="205" spans="1:6" x14ac:dyDescent="0.25">
      <c r="A205" t="s">
        <v>58</v>
      </c>
      <c r="B205" t="s">
        <v>54</v>
      </c>
      <c r="C205">
        <v>2041271</v>
      </c>
      <c r="D205">
        <v>60</v>
      </c>
      <c r="E205">
        <v>2344041</v>
      </c>
      <c r="F205">
        <f t="shared" si="3"/>
        <v>0.87083417056271628</v>
      </c>
    </row>
    <row r="206" spans="1:6" x14ac:dyDescent="0.25">
      <c r="A206" t="s">
        <v>59</v>
      </c>
      <c r="B206" t="s">
        <v>54</v>
      </c>
      <c r="C206">
        <v>2064281</v>
      </c>
      <c r="D206">
        <v>60</v>
      </c>
      <c r="E206">
        <v>2313563</v>
      </c>
      <c r="F206">
        <f t="shared" si="3"/>
        <v>0.89225190755557549</v>
      </c>
    </row>
    <row r="207" spans="1:6" x14ac:dyDescent="0.25">
      <c r="A207" t="s">
        <v>55</v>
      </c>
      <c r="B207" t="s">
        <v>54</v>
      </c>
      <c r="C207">
        <v>2004093</v>
      </c>
      <c r="D207">
        <v>90</v>
      </c>
      <c r="E207">
        <v>2313522</v>
      </c>
      <c r="F207">
        <f t="shared" si="3"/>
        <v>0.8662519742626178</v>
      </c>
    </row>
    <row r="208" spans="1:6" x14ac:dyDescent="0.25">
      <c r="A208" t="s">
        <v>56</v>
      </c>
      <c r="B208" t="s">
        <v>54</v>
      </c>
      <c r="C208">
        <v>2046541</v>
      </c>
      <c r="D208">
        <v>90</v>
      </c>
      <c r="E208">
        <v>2305533</v>
      </c>
      <c r="F208">
        <f t="shared" si="3"/>
        <v>0.88766502149394522</v>
      </c>
    </row>
    <row r="209" spans="1:6" x14ac:dyDescent="0.25">
      <c r="A209" t="s">
        <v>57</v>
      </c>
      <c r="B209" t="s">
        <v>54</v>
      </c>
      <c r="C209">
        <v>1995517</v>
      </c>
      <c r="D209">
        <v>90</v>
      </c>
      <c r="E209">
        <v>2315428</v>
      </c>
      <c r="F209">
        <f t="shared" si="3"/>
        <v>0.86183504734329897</v>
      </c>
    </row>
    <row r="210" spans="1:6" x14ac:dyDescent="0.25">
      <c r="A210" t="s">
        <v>58</v>
      </c>
      <c r="B210" t="s">
        <v>54</v>
      </c>
      <c r="C210">
        <v>1984859</v>
      </c>
      <c r="D210">
        <v>90</v>
      </c>
      <c r="E210">
        <v>2344041</v>
      </c>
      <c r="F210">
        <f t="shared" si="3"/>
        <v>0.84676803861365901</v>
      </c>
    </row>
    <row r="211" spans="1:6" x14ac:dyDescent="0.25">
      <c r="A211" t="s">
        <v>59</v>
      </c>
      <c r="B211" t="s">
        <v>54</v>
      </c>
      <c r="C211">
        <v>2015384</v>
      </c>
      <c r="D211">
        <v>90</v>
      </c>
      <c r="E211">
        <v>2313563</v>
      </c>
      <c r="F211">
        <f t="shared" si="3"/>
        <v>0.8711169741217335</v>
      </c>
    </row>
    <row r="212" spans="1:6" x14ac:dyDescent="0.25">
      <c r="A212" t="s">
        <v>55</v>
      </c>
      <c r="B212" t="s">
        <v>54</v>
      </c>
      <c r="C212">
        <v>1974224</v>
      </c>
      <c r="D212">
        <v>120</v>
      </c>
      <c r="E212">
        <v>2313522</v>
      </c>
      <c r="F212">
        <f t="shared" si="3"/>
        <v>0.85334135573381187</v>
      </c>
    </row>
    <row r="213" spans="1:6" x14ac:dyDescent="0.25">
      <c r="A213" t="s">
        <v>56</v>
      </c>
      <c r="B213" t="s">
        <v>54</v>
      </c>
      <c r="C213">
        <v>1966893</v>
      </c>
      <c r="D213">
        <v>120</v>
      </c>
      <c r="E213">
        <v>2305533</v>
      </c>
      <c r="F213">
        <f t="shared" si="3"/>
        <v>0.85311856303943601</v>
      </c>
    </row>
    <row r="214" spans="1:6" x14ac:dyDescent="0.25">
      <c r="A214" t="s">
        <v>57</v>
      </c>
      <c r="B214" t="s">
        <v>54</v>
      </c>
      <c r="C214">
        <v>1953785</v>
      </c>
      <c r="D214">
        <v>120</v>
      </c>
      <c r="E214">
        <v>2315428</v>
      </c>
      <c r="F214">
        <f t="shared" si="3"/>
        <v>0.84381159768302016</v>
      </c>
    </row>
    <row r="215" spans="1:6" x14ac:dyDescent="0.25">
      <c r="A215" t="s">
        <v>58</v>
      </c>
      <c r="B215" t="s">
        <v>54</v>
      </c>
      <c r="C215">
        <v>1959007</v>
      </c>
      <c r="D215">
        <v>120</v>
      </c>
      <c r="E215">
        <v>2344041</v>
      </c>
      <c r="F215">
        <f t="shared" si="3"/>
        <v>0.83573922128495193</v>
      </c>
    </row>
    <row r="216" spans="1:6" x14ac:dyDescent="0.25">
      <c r="A216" t="s">
        <v>59</v>
      </c>
      <c r="B216" t="s">
        <v>54</v>
      </c>
      <c r="C216">
        <v>1958955</v>
      </c>
      <c r="D216">
        <v>120</v>
      </c>
      <c r="E216">
        <v>2313563</v>
      </c>
      <c r="F216">
        <f t="shared" si="3"/>
        <v>0.84672645611984632</v>
      </c>
    </row>
    <row r="217" spans="1:6" x14ac:dyDescent="0.25">
      <c r="A217" t="s">
        <v>55</v>
      </c>
      <c r="B217" t="s">
        <v>54</v>
      </c>
      <c r="C217">
        <v>1942203</v>
      </c>
      <c r="D217">
        <v>150</v>
      </c>
      <c r="E217">
        <v>2313522</v>
      </c>
      <c r="F217">
        <f t="shared" si="3"/>
        <v>0.83950055370123988</v>
      </c>
    </row>
    <row r="218" spans="1:6" x14ac:dyDescent="0.25">
      <c r="A218" t="s">
        <v>56</v>
      </c>
      <c r="B218" t="s">
        <v>54</v>
      </c>
      <c r="C218">
        <v>1943326</v>
      </c>
      <c r="D218">
        <v>150</v>
      </c>
      <c r="E218">
        <v>2305533</v>
      </c>
      <c r="F218">
        <f t="shared" si="3"/>
        <v>0.84289663171162588</v>
      </c>
    </row>
    <row r="219" spans="1:6" x14ac:dyDescent="0.25">
      <c r="A219" t="s">
        <v>57</v>
      </c>
      <c r="B219" t="s">
        <v>54</v>
      </c>
      <c r="C219">
        <v>1948481</v>
      </c>
      <c r="D219">
        <v>150</v>
      </c>
      <c r="E219">
        <v>2315428</v>
      </c>
      <c r="F219">
        <f t="shared" si="3"/>
        <v>0.84152087648590235</v>
      </c>
    </row>
    <row r="220" spans="1:6" x14ac:dyDescent="0.25">
      <c r="A220" t="s">
        <v>58</v>
      </c>
      <c r="B220" t="s">
        <v>54</v>
      </c>
      <c r="C220">
        <v>1934310</v>
      </c>
      <c r="D220">
        <v>150</v>
      </c>
      <c r="E220">
        <v>2344041</v>
      </c>
      <c r="F220">
        <f t="shared" si="3"/>
        <v>0.82520314277779272</v>
      </c>
    </row>
    <row r="221" spans="1:6" x14ac:dyDescent="0.25">
      <c r="A221" t="s">
        <v>59</v>
      </c>
      <c r="B221" t="s">
        <v>54</v>
      </c>
      <c r="C221">
        <v>1930882</v>
      </c>
      <c r="D221">
        <v>150</v>
      </c>
      <c r="E221">
        <v>2313563</v>
      </c>
      <c r="F221">
        <f t="shared" si="3"/>
        <v>0.83459235819383348</v>
      </c>
    </row>
    <row r="222" spans="1:6" x14ac:dyDescent="0.25">
      <c r="A222" t="s">
        <v>55</v>
      </c>
      <c r="B222" t="s">
        <v>54</v>
      </c>
      <c r="C222">
        <v>1950358</v>
      </c>
      <c r="D222">
        <v>180</v>
      </c>
      <c r="E222">
        <v>2313522</v>
      </c>
      <c r="F222">
        <f t="shared" si="3"/>
        <v>0.84302548235979602</v>
      </c>
    </row>
    <row r="223" spans="1:6" x14ac:dyDescent="0.25">
      <c r="A223" t="s">
        <v>56</v>
      </c>
      <c r="B223" t="s">
        <v>54</v>
      </c>
      <c r="C223">
        <v>1937879</v>
      </c>
      <c r="D223">
        <v>180</v>
      </c>
      <c r="E223">
        <v>2305533</v>
      </c>
      <c r="F223">
        <f t="shared" si="3"/>
        <v>0.84053405438135131</v>
      </c>
    </row>
    <row r="224" spans="1:6" x14ac:dyDescent="0.25">
      <c r="A224" t="s">
        <v>57</v>
      </c>
      <c r="B224" t="s">
        <v>54</v>
      </c>
      <c r="C224">
        <v>1933142</v>
      </c>
      <c r="D224">
        <v>180</v>
      </c>
      <c r="E224">
        <v>2315428</v>
      </c>
      <c r="F224">
        <f t="shared" si="3"/>
        <v>0.83489618334061777</v>
      </c>
    </row>
    <row r="225" spans="1:6" x14ac:dyDescent="0.25">
      <c r="A225" t="s">
        <v>58</v>
      </c>
      <c r="B225" t="s">
        <v>54</v>
      </c>
      <c r="C225">
        <v>1916899</v>
      </c>
      <c r="D225">
        <v>180</v>
      </c>
      <c r="E225">
        <v>2344041</v>
      </c>
      <c r="F225">
        <f t="shared" si="3"/>
        <v>0.81777537167651926</v>
      </c>
    </row>
    <row r="226" spans="1:6" x14ac:dyDescent="0.25">
      <c r="A226" t="s">
        <v>59</v>
      </c>
      <c r="B226" t="s">
        <v>54</v>
      </c>
      <c r="C226">
        <v>1905542</v>
      </c>
      <c r="D226">
        <v>180</v>
      </c>
      <c r="E226">
        <v>2313563</v>
      </c>
      <c r="F226">
        <f t="shared" si="3"/>
        <v>0.82363955509316145</v>
      </c>
    </row>
    <row r="227" spans="1:6" x14ac:dyDescent="0.25">
      <c r="A227" t="s">
        <v>24</v>
      </c>
      <c r="B227" t="s">
        <v>64</v>
      </c>
      <c r="C227">
        <v>2334687</v>
      </c>
      <c r="D227">
        <v>2</v>
      </c>
      <c r="E227">
        <v>2334687</v>
      </c>
      <c r="F227">
        <f t="shared" si="3"/>
        <v>1</v>
      </c>
    </row>
    <row r="228" spans="1:6" x14ac:dyDescent="0.25">
      <c r="A228" t="s">
        <v>25</v>
      </c>
      <c r="B228" t="s">
        <v>64</v>
      </c>
      <c r="C228">
        <v>2352760</v>
      </c>
      <c r="D228">
        <v>2</v>
      </c>
      <c r="E228">
        <v>2352760</v>
      </c>
      <c r="F228">
        <f t="shared" si="3"/>
        <v>1</v>
      </c>
    </row>
    <row r="229" spans="1:6" x14ac:dyDescent="0.25">
      <c r="A229" t="s">
        <v>26</v>
      </c>
      <c r="B229" t="s">
        <v>64</v>
      </c>
      <c r="C229">
        <v>2343529</v>
      </c>
      <c r="D229">
        <v>2</v>
      </c>
      <c r="E229">
        <v>2343529</v>
      </c>
      <c r="F229">
        <f t="shared" si="3"/>
        <v>1</v>
      </c>
    </row>
    <row r="230" spans="1:6" x14ac:dyDescent="0.25">
      <c r="A230" t="s">
        <v>27</v>
      </c>
      <c r="B230" t="s">
        <v>64</v>
      </c>
      <c r="C230">
        <v>2355798</v>
      </c>
      <c r="D230">
        <v>2</v>
      </c>
      <c r="E230">
        <v>2355798</v>
      </c>
      <c r="F230">
        <f t="shared" si="3"/>
        <v>1</v>
      </c>
    </row>
    <row r="231" spans="1:6" x14ac:dyDescent="0.25">
      <c r="A231" t="s">
        <v>28</v>
      </c>
      <c r="B231" t="s">
        <v>64</v>
      </c>
      <c r="C231">
        <v>2300788</v>
      </c>
      <c r="D231">
        <v>2</v>
      </c>
      <c r="E231">
        <v>2300788</v>
      </c>
      <c r="F231">
        <f t="shared" si="3"/>
        <v>1</v>
      </c>
    </row>
    <row r="232" spans="1:6" x14ac:dyDescent="0.25">
      <c r="A232" t="s">
        <v>24</v>
      </c>
      <c r="B232" t="s">
        <v>64</v>
      </c>
      <c r="C232">
        <v>2289454</v>
      </c>
      <c r="D232">
        <v>10</v>
      </c>
      <c r="E232">
        <v>2334687</v>
      </c>
      <c r="F232">
        <f t="shared" si="3"/>
        <v>0.98062566845148835</v>
      </c>
    </row>
    <row r="233" spans="1:6" x14ac:dyDescent="0.25">
      <c r="A233" t="s">
        <v>25</v>
      </c>
      <c r="B233" t="s">
        <v>64</v>
      </c>
      <c r="C233">
        <v>2313910</v>
      </c>
      <c r="D233">
        <v>10</v>
      </c>
      <c r="E233">
        <v>2352760</v>
      </c>
      <c r="F233">
        <f t="shared" si="3"/>
        <v>0.98348747853584728</v>
      </c>
    </row>
    <row r="234" spans="1:6" x14ac:dyDescent="0.25">
      <c r="A234" t="s">
        <v>26</v>
      </c>
      <c r="B234" t="s">
        <v>64</v>
      </c>
      <c r="C234">
        <v>2314462</v>
      </c>
      <c r="D234">
        <v>10</v>
      </c>
      <c r="E234">
        <v>2343529</v>
      </c>
      <c r="F234">
        <f t="shared" si="3"/>
        <v>0.98759691047134468</v>
      </c>
    </row>
    <row r="235" spans="1:6" x14ac:dyDescent="0.25">
      <c r="A235" t="s">
        <v>27</v>
      </c>
      <c r="B235" t="s">
        <v>64</v>
      </c>
      <c r="C235">
        <v>2290748</v>
      </c>
      <c r="D235">
        <v>10</v>
      </c>
      <c r="E235">
        <v>2355798</v>
      </c>
      <c r="F235">
        <f t="shared" si="3"/>
        <v>0.9723872759888581</v>
      </c>
    </row>
    <row r="236" spans="1:6" x14ac:dyDescent="0.25">
      <c r="A236" t="s">
        <v>28</v>
      </c>
      <c r="B236" t="s">
        <v>64</v>
      </c>
      <c r="C236">
        <v>2274559</v>
      </c>
      <c r="D236">
        <v>10</v>
      </c>
      <c r="E236">
        <v>2300788</v>
      </c>
      <c r="F236">
        <f t="shared" si="3"/>
        <v>0.9885999926981538</v>
      </c>
    </row>
    <row r="237" spans="1:6" x14ac:dyDescent="0.25">
      <c r="A237" t="s">
        <v>24</v>
      </c>
      <c r="B237" t="s">
        <v>64</v>
      </c>
      <c r="C237">
        <v>2271359</v>
      </c>
      <c r="D237">
        <v>20</v>
      </c>
      <c r="E237">
        <v>2334687</v>
      </c>
      <c r="F237">
        <f t="shared" si="3"/>
        <v>0.97287516485079151</v>
      </c>
    </row>
    <row r="238" spans="1:6" x14ac:dyDescent="0.25">
      <c r="A238" t="s">
        <v>25</v>
      </c>
      <c r="B238" t="s">
        <v>64</v>
      </c>
      <c r="C238">
        <v>2308639</v>
      </c>
      <c r="D238">
        <v>20</v>
      </c>
      <c r="E238">
        <v>2352760</v>
      </c>
      <c r="F238">
        <f t="shared" si="3"/>
        <v>0.98124713102908923</v>
      </c>
    </row>
    <row r="239" spans="1:6" x14ac:dyDescent="0.25">
      <c r="A239" t="s">
        <v>26</v>
      </c>
      <c r="B239" t="s">
        <v>64</v>
      </c>
      <c r="C239">
        <v>2290835</v>
      </c>
      <c r="D239">
        <v>20</v>
      </c>
      <c r="E239">
        <v>2343529</v>
      </c>
      <c r="F239">
        <f t="shared" si="3"/>
        <v>0.97751510649110807</v>
      </c>
    </row>
    <row r="240" spans="1:6" x14ac:dyDescent="0.25">
      <c r="A240" t="s">
        <v>27</v>
      </c>
      <c r="B240" t="s">
        <v>64</v>
      </c>
      <c r="C240">
        <v>2292523</v>
      </c>
      <c r="D240">
        <v>20</v>
      </c>
      <c r="E240">
        <v>2355798</v>
      </c>
      <c r="F240">
        <f t="shared" si="3"/>
        <v>0.97314073617517294</v>
      </c>
    </row>
    <row r="241" spans="1:6" x14ac:dyDescent="0.25">
      <c r="A241" t="s">
        <v>28</v>
      </c>
      <c r="B241" t="s">
        <v>64</v>
      </c>
      <c r="C241">
        <v>2279563</v>
      </c>
      <c r="D241">
        <v>20</v>
      </c>
      <c r="E241">
        <v>2300788</v>
      </c>
      <c r="F241">
        <f t="shared" si="3"/>
        <v>0.99077489973000554</v>
      </c>
    </row>
    <row r="242" spans="1:6" x14ac:dyDescent="0.25">
      <c r="A242" t="s">
        <v>24</v>
      </c>
      <c r="B242" t="s">
        <v>64</v>
      </c>
      <c r="C242">
        <v>2286408</v>
      </c>
      <c r="D242">
        <v>30</v>
      </c>
      <c r="E242">
        <v>2334687</v>
      </c>
      <c r="F242">
        <f t="shared" si="3"/>
        <v>0.97932099677601325</v>
      </c>
    </row>
    <row r="243" spans="1:6" x14ac:dyDescent="0.25">
      <c r="A243" t="s">
        <v>25</v>
      </c>
      <c r="B243" t="s">
        <v>64</v>
      </c>
      <c r="C243">
        <v>2309993</v>
      </c>
      <c r="D243">
        <v>30</v>
      </c>
      <c r="E243">
        <v>2352760</v>
      </c>
      <c r="F243">
        <f t="shared" si="3"/>
        <v>0.98182262534215137</v>
      </c>
    </row>
    <row r="244" spans="1:6" x14ac:dyDescent="0.25">
      <c r="A244" t="s">
        <v>26</v>
      </c>
      <c r="B244" t="s">
        <v>64</v>
      </c>
      <c r="C244">
        <v>2298532</v>
      </c>
      <c r="D244">
        <v>30</v>
      </c>
      <c r="E244">
        <v>2343529</v>
      </c>
      <c r="F244">
        <f t="shared" si="3"/>
        <v>0.98079946951797903</v>
      </c>
    </row>
    <row r="245" spans="1:6" x14ac:dyDescent="0.25">
      <c r="A245" t="s">
        <v>27</v>
      </c>
      <c r="B245" t="s">
        <v>64</v>
      </c>
      <c r="C245">
        <v>2296846</v>
      </c>
      <c r="D245">
        <v>30</v>
      </c>
      <c r="E245">
        <v>2355798</v>
      </c>
      <c r="F245">
        <f t="shared" si="3"/>
        <v>0.97497578315288491</v>
      </c>
    </row>
    <row r="246" spans="1:6" x14ac:dyDescent="0.25">
      <c r="A246" t="s">
        <v>28</v>
      </c>
      <c r="B246" t="s">
        <v>64</v>
      </c>
      <c r="C246">
        <v>2284085</v>
      </c>
      <c r="D246">
        <v>30</v>
      </c>
      <c r="E246">
        <v>2300788</v>
      </c>
      <c r="F246">
        <f t="shared" si="3"/>
        <v>0.99274031331874124</v>
      </c>
    </row>
    <row r="247" spans="1:6" x14ac:dyDescent="0.25">
      <c r="A247" t="s">
        <v>24</v>
      </c>
      <c r="B247" t="s">
        <v>64</v>
      </c>
      <c r="C247">
        <v>2330082</v>
      </c>
      <c r="D247">
        <v>60</v>
      </c>
      <c r="E247">
        <v>2334687</v>
      </c>
      <c r="F247">
        <f t="shared" si="3"/>
        <v>0.99802757286094457</v>
      </c>
    </row>
    <row r="248" spans="1:6" x14ac:dyDescent="0.25">
      <c r="A248" t="s">
        <v>25</v>
      </c>
      <c r="B248" t="s">
        <v>64</v>
      </c>
      <c r="C248">
        <v>2328410</v>
      </c>
      <c r="D248">
        <v>60</v>
      </c>
      <c r="E248">
        <v>2352760</v>
      </c>
      <c r="F248">
        <f t="shared" si="3"/>
        <v>0.98965045308488753</v>
      </c>
    </row>
    <row r="249" spans="1:6" x14ac:dyDescent="0.25">
      <c r="A249" t="s">
        <v>26</v>
      </c>
      <c r="B249" t="s">
        <v>64</v>
      </c>
      <c r="C249">
        <v>2337177</v>
      </c>
      <c r="D249">
        <v>60</v>
      </c>
      <c r="E249">
        <v>2343529</v>
      </c>
      <c r="F249">
        <f t="shared" si="3"/>
        <v>0.99728955775669936</v>
      </c>
    </row>
    <row r="250" spans="1:6" x14ac:dyDescent="0.25">
      <c r="A250" t="s">
        <v>27</v>
      </c>
      <c r="B250" t="s">
        <v>64</v>
      </c>
      <c r="C250">
        <v>2331783</v>
      </c>
      <c r="D250">
        <v>60</v>
      </c>
      <c r="E250">
        <v>2355798</v>
      </c>
      <c r="F250">
        <f t="shared" si="3"/>
        <v>0.98980600204261993</v>
      </c>
    </row>
    <row r="251" spans="1:6" x14ac:dyDescent="0.25">
      <c r="A251" t="s">
        <v>28</v>
      </c>
      <c r="B251" t="s">
        <v>64</v>
      </c>
      <c r="C251">
        <v>2311573</v>
      </c>
      <c r="D251">
        <v>60</v>
      </c>
      <c r="E251">
        <v>2300788</v>
      </c>
      <c r="F251">
        <f t="shared" si="3"/>
        <v>1.0046875244481457</v>
      </c>
    </row>
    <row r="252" spans="1:6" x14ac:dyDescent="0.25">
      <c r="A252" t="s">
        <v>24</v>
      </c>
      <c r="B252" t="s">
        <v>64</v>
      </c>
      <c r="C252">
        <v>2342384</v>
      </c>
      <c r="D252">
        <v>90</v>
      </c>
      <c r="E252">
        <v>2334687</v>
      </c>
      <c r="F252">
        <f t="shared" si="3"/>
        <v>1.0032968016697741</v>
      </c>
    </row>
    <row r="253" spans="1:6" x14ac:dyDescent="0.25">
      <c r="A253" t="s">
        <v>25</v>
      </c>
      <c r="B253" t="s">
        <v>64</v>
      </c>
      <c r="C253">
        <v>2359729</v>
      </c>
      <c r="D253">
        <v>90</v>
      </c>
      <c r="E253">
        <v>2352760</v>
      </c>
      <c r="F253">
        <f t="shared" si="3"/>
        <v>1.0029620530780869</v>
      </c>
    </row>
    <row r="254" spans="1:6" x14ac:dyDescent="0.25">
      <c r="A254" t="s">
        <v>26</v>
      </c>
      <c r="B254" t="s">
        <v>64</v>
      </c>
      <c r="C254">
        <v>2358185</v>
      </c>
      <c r="D254">
        <v>90</v>
      </c>
      <c r="E254">
        <v>2343529</v>
      </c>
      <c r="F254">
        <f t="shared" si="3"/>
        <v>1.0062538163598573</v>
      </c>
    </row>
    <row r="255" spans="1:6" x14ac:dyDescent="0.25">
      <c r="A255" t="s">
        <v>27</v>
      </c>
      <c r="B255" t="s">
        <v>64</v>
      </c>
      <c r="C255">
        <v>2355741</v>
      </c>
      <c r="D255">
        <v>90</v>
      </c>
      <c r="E255">
        <v>2355798</v>
      </c>
      <c r="F255">
        <f t="shared" si="3"/>
        <v>0.99997580437711553</v>
      </c>
    </row>
    <row r="256" spans="1:6" x14ac:dyDescent="0.25">
      <c r="A256" t="s">
        <v>28</v>
      </c>
      <c r="B256" t="s">
        <v>64</v>
      </c>
      <c r="C256">
        <v>2352578</v>
      </c>
      <c r="D256">
        <v>90</v>
      </c>
      <c r="E256">
        <v>2300788</v>
      </c>
      <c r="F256">
        <f t="shared" si="3"/>
        <v>1.0225096792924859</v>
      </c>
    </row>
    <row r="257" spans="1:6" x14ac:dyDescent="0.25">
      <c r="A257" t="s">
        <v>24</v>
      </c>
      <c r="B257" t="s">
        <v>64</v>
      </c>
      <c r="C257">
        <v>2355965</v>
      </c>
      <c r="D257">
        <v>120</v>
      </c>
      <c r="E257">
        <v>2334687</v>
      </c>
      <c r="F257">
        <f t="shared" si="3"/>
        <v>1.0091138555189625</v>
      </c>
    </row>
    <row r="258" spans="1:6" x14ac:dyDescent="0.25">
      <c r="A258" t="s">
        <v>25</v>
      </c>
      <c r="B258" t="s">
        <v>64</v>
      </c>
      <c r="C258">
        <v>2371203</v>
      </c>
      <c r="D258">
        <v>120</v>
      </c>
      <c r="E258">
        <v>2352760</v>
      </c>
      <c r="F258">
        <f t="shared" si="3"/>
        <v>1.0078388785936516</v>
      </c>
    </row>
    <row r="259" spans="1:6" x14ac:dyDescent="0.25">
      <c r="A259" t="s">
        <v>26</v>
      </c>
      <c r="B259" t="s">
        <v>64</v>
      </c>
      <c r="C259">
        <v>2378005</v>
      </c>
      <c r="D259">
        <v>120</v>
      </c>
      <c r="E259">
        <v>2343529</v>
      </c>
      <c r="F259">
        <f t="shared" ref="F259:F316" si="4">C259/E259</f>
        <v>1.0147111471631032</v>
      </c>
    </row>
    <row r="260" spans="1:6" x14ac:dyDescent="0.25">
      <c r="A260" t="s">
        <v>27</v>
      </c>
      <c r="B260" t="s">
        <v>64</v>
      </c>
      <c r="C260">
        <v>2378728</v>
      </c>
      <c r="D260">
        <v>120</v>
      </c>
      <c r="E260">
        <v>2355798</v>
      </c>
      <c r="F260">
        <f t="shared" si="4"/>
        <v>1.0097334321533511</v>
      </c>
    </row>
    <row r="261" spans="1:6" x14ac:dyDescent="0.25">
      <c r="A261" t="s">
        <v>28</v>
      </c>
      <c r="B261" t="s">
        <v>64</v>
      </c>
      <c r="C261">
        <v>2361480</v>
      </c>
      <c r="D261">
        <v>120</v>
      </c>
      <c r="E261">
        <v>2300788</v>
      </c>
      <c r="F261">
        <f t="shared" si="4"/>
        <v>1.0263787884846409</v>
      </c>
    </row>
    <row r="262" spans="1:6" x14ac:dyDescent="0.25">
      <c r="A262" t="s">
        <v>24</v>
      </c>
      <c r="B262" t="s">
        <v>64</v>
      </c>
      <c r="C262">
        <v>2375441</v>
      </c>
      <c r="D262">
        <v>150</v>
      </c>
      <c r="E262">
        <v>2334687</v>
      </c>
      <c r="F262">
        <f t="shared" si="4"/>
        <v>1.0174558730999059</v>
      </c>
    </row>
    <row r="263" spans="1:6" x14ac:dyDescent="0.25">
      <c r="A263" t="s">
        <v>25</v>
      </c>
      <c r="B263" t="s">
        <v>64</v>
      </c>
      <c r="C263">
        <v>2374252</v>
      </c>
      <c r="D263">
        <v>150</v>
      </c>
      <c r="E263">
        <v>2352760</v>
      </c>
      <c r="F263">
        <f t="shared" si="4"/>
        <v>1.0091348033798602</v>
      </c>
    </row>
    <row r="264" spans="1:6" x14ac:dyDescent="0.25">
      <c r="A264" t="s">
        <v>26</v>
      </c>
      <c r="B264" t="s">
        <v>64</v>
      </c>
      <c r="C264">
        <v>2395257</v>
      </c>
      <c r="D264">
        <v>150</v>
      </c>
      <c r="E264">
        <v>2343529</v>
      </c>
      <c r="F264">
        <f t="shared" si="4"/>
        <v>1.0220726946412868</v>
      </c>
    </row>
    <row r="265" spans="1:6" x14ac:dyDescent="0.25">
      <c r="A265" t="s">
        <v>27</v>
      </c>
      <c r="B265" t="s">
        <v>64</v>
      </c>
      <c r="C265">
        <v>2385062</v>
      </c>
      <c r="D265">
        <v>150</v>
      </c>
      <c r="E265">
        <v>2355798</v>
      </c>
      <c r="F265">
        <f t="shared" si="4"/>
        <v>1.0124221176858117</v>
      </c>
    </row>
    <row r="266" spans="1:6" x14ac:dyDescent="0.25">
      <c r="A266" t="s">
        <v>28</v>
      </c>
      <c r="B266" t="s">
        <v>64</v>
      </c>
      <c r="C266">
        <v>2380933</v>
      </c>
      <c r="D266">
        <v>150</v>
      </c>
      <c r="E266">
        <v>2300788</v>
      </c>
      <c r="F266">
        <f t="shared" si="4"/>
        <v>1.0348337178392795</v>
      </c>
    </row>
    <row r="267" spans="1:6" x14ac:dyDescent="0.25">
      <c r="A267" t="s">
        <v>24</v>
      </c>
      <c r="B267" t="s">
        <v>64</v>
      </c>
      <c r="C267">
        <v>2393698</v>
      </c>
      <c r="D267">
        <v>180</v>
      </c>
      <c r="E267">
        <v>2334687</v>
      </c>
      <c r="F267">
        <f t="shared" si="4"/>
        <v>1.0252757650168951</v>
      </c>
    </row>
    <row r="268" spans="1:6" x14ac:dyDescent="0.25">
      <c r="A268" t="s">
        <v>25</v>
      </c>
      <c r="B268" t="s">
        <v>64</v>
      </c>
      <c r="C268">
        <v>2389405</v>
      </c>
      <c r="D268">
        <v>180</v>
      </c>
      <c r="E268">
        <v>2352760</v>
      </c>
      <c r="F268">
        <f t="shared" si="4"/>
        <v>1.015575324299971</v>
      </c>
    </row>
    <row r="269" spans="1:6" x14ac:dyDescent="0.25">
      <c r="A269" t="s">
        <v>26</v>
      </c>
      <c r="B269" t="s">
        <v>64</v>
      </c>
      <c r="C269">
        <v>2411601</v>
      </c>
      <c r="D269">
        <v>180</v>
      </c>
      <c r="E269">
        <v>2343529</v>
      </c>
      <c r="F269">
        <f t="shared" si="4"/>
        <v>1.0290467922521975</v>
      </c>
    </row>
    <row r="270" spans="1:6" x14ac:dyDescent="0.25">
      <c r="A270" t="s">
        <v>27</v>
      </c>
      <c r="B270" t="s">
        <v>64</v>
      </c>
      <c r="C270">
        <v>2394773</v>
      </c>
      <c r="D270">
        <v>180</v>
      </c>
      <c r="E270">
        <v>2355798</v>
      </c>
      <c r="F270">
        <f t="shared" si="4"/>
        <v>1.0165442877530246</v>
      </c>
    </row>
    <row r="271" spans="1:6" x14ac:dyDescent="0.25">
      <c r="A271" t="s">
        <v>28</v>
      </c>
      <c r="B271" t="s">
        <v>64</v>
      </c>
      <c r="C271">
        <v>2403814</v>
      </c>
      <c r="D271">
        <v>180</v>
      </c>
      <c r="E271">
        <v>2300788</v>
      </c>
      <c r="F271">
        <f t="shared" si="4"/>
        <v>1.0447785715154982</v>
      </c>
    </row>
    <row r="272" spans="1:6" x14ac:dyDescent="0.25">
      <c r="A272" t="s">
        <v>29</v>
      </c>
      <c r="B272" t="s">
        <v>65</v>
      </c>
      <c r="C272">
        <v>2301356</v>
      </c>
      <c r="D272">
        <v>2</v>
      </c>
      <c r="E272">
        <v>2301356</v>
      </c>
      <c r="F272">
        <f t="shared" si="4"/>
        <v>1</v>
      </c>
    </row>
    <row r="273" spans="1:6" x14ac:dyDescent="0.25">
      <c r="A273" t="s">
        <v>30</v>
      </c>
      <c r="B273" t="s">
        <v>65</v>
      </c>
      <c r="C273">
        <v>2304854</v>
      </c>
      <c r="D273">
        <v>2</v>
      </c>
      <c r="E273">
        <v>2304854</v>
      </c>
      <c r="F273">
        <f t="shared" si="4"/>
        <v>1</v>
      </c>
    </row>
    <row r="274" spans="1:6" x14ac:dyDescent="0.25">
      <c r="A274" t="s">
        <v>31</v>
      </c>
      <c r="B274" t="s">
        <v>65</v>
      </c>
      <c r="C274">
        <v>2314077</v>
      </c>
      <c r="D274">
        <v>2</v>
      </c>
      <c r="E274">
        <v>2314077</v>
      </c>
      <c r="F274">
        <f t="shared" si="4"/>
        <v>1</v>
      </c>
    </row>
    <row r="275" spans="1:6" x14ac:dyDescent="0.25">
      <c r="A275" t="s">
        <v>32</v>
      </c>
      <c r="B275" t="s">
        <v>65</v>
      </c>
      <c r="C275">
        <v>2318156</v>
      </c>
      <c r="D275">
        <v>2</v>
      </c>
      <c r="E275">
        <v>2318156</v>
      </c>
      <c r="F275">
        <f t="shared" si="4"/>
        <v>1</v>
      </c>
    </row>
    <row r="276" spans="1:6" x14ac:dyDescent="0.25">
      <c r="A276" t="s">
        <v>33</v>
      </c>
      <c r="B276" t="s">
        <v>65</v>
      </c>
      <c r="C276">
        <v>2313679</v>
      </c>
      <c r="D276">
        <v>2</v>
      </c>
      <c r="E276">
        <v>2313679</v>
      </c>
      <c r="F276">
        <f t="shared" si="4"/>
        <v>1</v>
      </c>
    </row>
    <row r="277" spans="1:6" x14ac:dyDescent="0.25">
      <c r="A277" t="s">
        <v>29</v>
      </c>
      <c r="B277" t="s">
        <v>65</v>
      </c>
      <c r="C277">
        <v>2247002</v>
      </c>
      <c r="D277">
        <v>10</v>
      </c>
      <c r="E277">
        <v>2301356</v>
      </c>
      <c r="F277">
        <f t="shared" si="4"/>
        <v>0.97638175058530707</v>
      </c>
    </row>
    <row r="278" spans="1:6" x14ac:dyDescent="0.25">
      <c r="A278" t="s">
        <v>30</v>
      </c>
      <c r="B278" t="s">
        <v>65</v>
      </c>
      <c r="C278">
        <v>2273982</v>
      </c>
      <c r="D278">
        <v>10</v>
      </c>
      <c r="E278">
        <v>2304854</v>
      </c>
      <c r="F278">
        <f t="shared" si="4"/>
        <v>0.98660565918708953</v>
      </c>
    </row>
    <row r="279" spans="1:6" x14ac:dyDescent="0.25">
      <c r="A279" t="s">
        <v>31</v>
      </c>
      <c r="B279" t="s">
        <v>65</v>
      </c>
      <c r="C279">
        <v>2283791</v>
      </c>
      <c r="D279">
        <v>10</v>
      </c>
      <c r="E279">
        <v>2314077</v>
      </c>
      <c r="F279">
        <f t="shared" si="4"/>
        <v>0.98691227647135338</v>
      </c>
    </row>
    <row r="280" spans="1:6" x14ac:dyDescent="0.25">
      <c r="A280" t="s">
        <v>32</v>
      </c>
      <c r="B280" t="s">
        <v>65</v>
      </c>
      <c r="C280">
        <v>2278200</v>
      </c>
      <c r="D280">
        <v>10</v>
      </c>
      <c r="E280">
        <v>2318156</v>
      </c>
      <c r="F280">
        <f t="shared" si="4"/>
        <v>0.98276388646838264</v>
      </c>
    </row>
    <row r="281" spans="1:6" x14ac:dyDescent="0.25">
      <c r="A281" t="s">
        <v>33</v>
      </c>
      <c r="B281" t="s">
        <v>65</v>
      </c>
      <c r="C281">
        <v>2262649</v>
      </c>
      <c r="D281">
        <v>10</v>
      </c>
      <c r="E281">
        <v>2313679</v>
      </c>
      <c r="F281">
        <f t="shared" si="4"/>
        <v>0.97794421784525853</v>
      </c>
    </row>
    <row r="282" spans="1:6" x14ac:dyDescent="0.25">
      <c r="A282" t="s">
        <v>29</v>
      </c>
      <c r="B282" t="s">
        <v>65</v>
      </c>
      <c r="C282">
        <v>2263602</v>
      </c>
      <c r="D282">
        <v>20</v>
      </c>
      <c r="E282">
        <v>2301356</v>
      </c>
      <c r="F282">
        <f t="shared" si="4"/>
        <v>0.98359488927397587</v>
      </c>
    </row>
    <row r="283" spans="1:6" x14ac:dyDescent="0.25">
      <c r="A283" t="s">
        <v>30</v>
      </c>
      <c r="B283" t="s">
        <v>65</v>
      </c>
      <c r="C283">
        <v>2279060</v>
      </c>
      <c r="D283">
        <v>20</v>
      </c>
      <c r="E283">
        <v>2304854</v>
      </c>
      <c r="F283">
        <f t="shared" si="4"/>
        <v>0.98880883561388266</v>
      </c>
    </row>
    <row r="284" spans="1:6" x14ac:dyDescent="0.25">
      <c r="A284" t="s">
        <v>31</v>
      </c>
      <c r="B284" t="s">
        <v>65</v>
      </c>
      <c r="C284">
        <v>2290779</v>
      </c>
      <c r="D284">
        <v>20</v>
      </c>
      <c r="E284">
        <v>2314077</v>
      </c>
      <c r="F284">
        <f t="shared" si="4"/>
        <v>0.98993205498347725</v>
      </c>
    </row>
    <row r="285" spans="1:6" x14ac:dyDescent="0.25">
      <c r="A285" t="s">
        <v>32</v>
      </c>
      <c r="B285" t="s">
        <v>65</v>
      </c>
      <c r="C285">
        <v>2294588</v>
      </c>
      <c r="D285">
        <v>20</v>
      </c>
      <c r="E285">
        <v>2318156</v>
      </c>
      <c r="F285">
        <f t="shared" si="4"/>
        <v>0.98983329853556012</v>
      </c>
    </row>
    <row r="286" spans="1:6" x14ac:dyDescent="0.25">
      <c r="A286" t="s">
        <v>33</v>
      </c>
      <c r="B286" t="s">
        <v>65</v>
      </c>
      <c r="C286">
        <v>2278131</v>
      </c>
      <c r="D286">
        <v>20</v>
      </c>
      <c r="E286">
        <v>2313679</v>
      </c>
      <c r="F286">
        <f t="shared" si="4"/>
        <v>0.98463572518054576</v>
      </c>
    </row>
    <row r="287" spans="1:6" x14ac:dyDescent="0.25">
      <c r="A287" t="s">
        <v>29</v>
      </c>
      <c r="B287" t="s">
        <v>65</v>
      </c>
      <c r="C287">
        <v>2291276</v>
      </c>
      <c r="D287">
        <v>30</v>
      </c>
      <c r="E287">
        <v>2301356</v>
      </c>
      <c r="F287">
        <f t="shared" si="4"/>
        <v>0.99561997361555532</v>
      </c>
    </row>
    <row r="288" spans="1:6" x14ac:dyDescent="0.25">
      <c r="A288" t="s">
        <v>30</v>
      </c>
      <c r="B288" t="s">
        <v>65</v>
      </c>
      <c r="C288">
        <v>2313868</v>
      </c>
      <c r="D288">
        <v>30</v>
      </c>
      <c r="E288">
        <v>2304854</v>
      </c>
      <c r="F288">
        <f t="shared" si="4"/>
        <v>1.0039108767843863</v>
      </c>
    </row>
    <row r="289" spans="1:6" x14ac:dyDescent="0.25">
      <c r="A289" t="s">
        <v>31</v>
      </c>
      <c r="B289" t="s">
        <v>65</v>
      </c>
      <c r="C289">
        <v>2312023</v>
      </c>
      <c r="D289">
        <v>30</v>
      </c>
      <c r="E289">
        <v>2314077</v>
      </c>
      <c r="F289">
        <f t="shared" si="4"/>
        <v>0.99911238908644784</v>
      </c>
    </row>
    <row r="290" spans="1:6" x14ac:dyDescent="0.25">
      <c r="A290" t="s">
        <v>32</v>
      </c>
      <c r="B290" t="s">
        <v>65</v>
      </c>
      <c r="C290">
        <v>2332186</v>
      </c>
      <c r="D290">
        <v>30</v>
      </c>
      <c r="E290">
        <v>2318156</v>
      </c>
      <c r="F290">
        <f t="shared" si="4"/>
        <v>1.0060522242679095</v>
      </c>
    </row>
    <row r="291" spans="1:6" x14ac:dyDescent="0.25">
      <c r="A291" t="s">
        <v>33</v>
      </c>
      <c r="B291" t="s">
        <v>65</v>
      </c>
      <c r="C291">
        <v>2311920</v>
      </c>
      <c r="D291">
        <v>30</v>
      </c>
      <c r="E291">
        <v>2313679</v>
      </c>
      <c r="F291">
        <f t="shared" si="4"/>
        <v>0.99923973896119556</v>
      </c>
    </row>
    <row r="292" spans="1:6" x14ac:dyDescent="0.25">
      <c r="A292" t="s">
        <v>29</v>
      </c>
      <c r="B292" t="s">
        <v>65</v>
      </c>
      <c r="C292">
        <v>2329193</v>
      </c>
      <c r="D292">
        <v>60</v>
      </c>
      <c r="E292">
        <v>2301356</v>
      </c>
      <c r="F292">
        <f t="shared" si="4"/>
        <v>1.012095912149185</v>
      </c>
    </row>
    <row r="293" spans="1:6" x14ac:dyDescent="0.25">
      <c r="A293" t="s">
        <v>30</v>
      </c>
      <c r="B293" t="s">
        <v>65</v>
      </c>
      <c r="C293">
        <v>2350605</v>
      </c>
      <c r="D293">
        <v>60</v>
      </c>
      <c r="E293">
        <v>2304854</v>
      </c>
      <c r="F293">
        <f t="shared" si="4"/>
        <v>1.0198498473222164</v>
      </c>
    </row>
    <row r="294" spans="1:6" x14ac:dyDescent="0.25">
      <c r="A294" t="s">
        <v>31</v>
      </c>
      <c r="B294" t="s">
        <v>65</v>
      </c>
      <c r="C294">
        <v>2359712</v>
      </c>
      <c r="D294">
        <v>60</v>
      </c>
      <c r="E294">
        <v>2314077</v>
      </c>
      <c r="F294">
        <f t="shared" si="4"/>
        <v>1.0197206056669679</v>
      </c>
    </row>
    <row r="295" spans="1:6" x14ac:dyDescent="0.25">
      <c r="A295" t="s">
        <v>32</v>
      </c>
      <c r="B295" t="s">
        <v>65</v>
      </c>
      <c r="C295">
        <v>2379505</v>
      </c>
      <c r="D295">
        <v>60</v>
      </c>
      <c r="E295">
        <v>2318156</v>
      </c>
      <c r="F295">
        <f t="shared" si="4"/>
        <v>1.0264645692524577</v>
      </c>
    </row>
    <row r="296" spans="1:6" x14ac:dyDescent="0.25">
      <c r="A296" t="s">
        <v>33</v>
      </c>
      <c r="B296" t="s">
        <v>65</v>
      </c>
      <c r="C296">
        <v>2349471</v>
      </c>
      <c r="D296">
        <v>60</v>
      </c>
      <c r="E296">
        <v>2313679</v>
      </c>
      <c r="F296">
        <f t="shared" si="4"/>
        <v>1.0154697345655987</v>
      </c>
    </row>
    <row r="297" spans="1:6" x14ac:dyDescent="0.25">
      <c r="A297" t="s">
        <v>29</v>
      </c>
      <c r="B297" t="s">
        <v>65</v>
      </c>
      <c r="C297">
        <v>2376034</v>
      </c>
      <c r="D297">
        <v>90</v>
      </c>
      <c r="E297">
        <v>2301356</v>
      </c>
      <c r="F297">
        <f t="shared" si="4"/>
        <v>1.0324495645176148</v>
      </c>
    </row>
    <row r="298" spans="1:6" x14ac:dyDescent="0.25">
      <c r="A298" t="s">
        <v>30</v>
      </c>
      <c r="B298" t="s">
        <v>65</v>
      </c>
      <c r="C298">
        <v>2392055</v>
      </c>
      <c r="D298">
        <v>90</v>
      </c>
      <c r="E298">
        <v>2304854</v>
      </c>
      <c r="F298">
        <f t="shared" si="4"/>
        <v>1.0378336328461586</v>
      </c>
    </row>
    <row r="299" spans="1:6" x14ac:dyDescent="0.25">
      <c r="A299" t="s">
        <v>31</v>
      </c>
      <c r="B299" t="s">
        <v>65</v>
      </c>
      <c r="C299">
        <v>2380546</v>
      </c>
      <c r="D299">
        <v>90</v>
      </c>
      <c r="E299">
        <v>2314077</v>
      </c>
      <c r="F299">
        <f t="shared" si="4"/>
        <v>1.0287237632974184</v>
      </c>
    </row>
    <row r="300" spans="1:6" x14ac:dyDescent="0.25">
      <c r="A300" t="s">
        <v>32</v>
      </c>
      <c r="B300" t="s">
        <v>65</v>
      </c>
      <c r="C300">
        <v>2427528</v>
      </c>
      <c r="D300">
        <v>90</v>
      </c>
      <c r="E300">
        <v>2318156</v>
      </c>
      <c r="F300">
        <f t="shared" si="4"/>
        <v>1.0471806038937845</v>
      </c>
    </row>
    <row r="301" spans="1:6" x14ac:dyDescent="0.25">
      <c r="A301" t="s">
        <v>33</v>
      </c>
      <c r="B301" t="s">
        <v>65</v>
      </c>
      <c r="C301">
        <v>2371016</v>
      </c>
      <c r="D301">
        <v>90</v>
      </c>
      <c r="E301">
        <v>2313679</v>
      </c>
      <c r="F301">
        <f t="shared" si="4"/>
        <v>1.0247817437077487</v>
      </c>
    </row>
    <row r="302" spans="1:6" x14ac:dyDescent="0.25">
      <c r="A302" t="s">
        <v>29</v>
      </c>
      <c r="B302" t="s">
        <v>65</v>
      </c>
      <c r="C302">
        <v>2404179</v>
      </c>
      <c r="D302">
        <v>120</v>
      </c>
      <c r="E302">
        <v>2301356</v>
      </c>
      <c r="F302">
        <f t="shared" si="4"/>
        <v>1.0446793108063246</v>
      </c>
    </row>
    <row r="303" spans="1:6" x14ac:dyDescent="0.25">
      <c r="A303" t="s">
        <v>30</v>
      </c>
      <c r="B303" t="s">
        <v>65</v>
      </c>
      <c r="C303">
        <v>2407594</v>
      </c>
      <c r="D303">
        <v>120</v>
      </c>
      <c r="E303">
        <v>2304854</v>
      </c>
      <c r="F303">
        <f t="shared" si="4"/>
        <v>1.0445754915495733</v>
      </c>
    </row>
    <row r="304" spans="1:6" x14ac:dyDescent="0.25">
      <c r="A304" t="s">
        <v>31</v>
      </c>
      <c r="B304" t="s">
        <v>65</v>
      </c>
      <c r="C304">
        <v>2411693</v>
      </c>
      <c r="D304">
        <v>120</v>
      </c>
      <c r="E304">
        <v>2314077</v>
      </c>
      <c r="F304">
        <f t="shared" si="4"/>
        <v>1.0421835574183573</v>
      </c>
    </row>
    <row r="305" spans="1:6" x14ac:dyDescent="0.25">
      <c r="A305" t="s">
        <v>32</v>
      </c>
      <c r="B305" t="s">
        <v>65</v>
      </c>
      <c r="C305">
        <v>2456334</v>
      </c>
      <c r="D305">
        <v>120</v>
      </c>
      <c r="E305">
        <v>2318156</v>
      </c>
      <c r="F305">
        <f t="shared" si="4"/>
        <v>1.0596068599352244</v>
      </c>
    </row>
    <row r="306" spans="1:6" x14ac:dyDescent="0.25">
      <c r="A306" t="s">
        <v>33</v>
      </c>
      <c r="B306" t="s">
        <v>65</v>
      </c>
      <c r="C306">
        <v>2389595</v>
      </c>
      <c r="D306">
        <v>120</v>
      </c>
      <c r="E306">
        <v>2313679</v>
      </c>
      <c r="F306">
        <f t="shared" si="4"/>
        <v>1.0328118118373379</v>
      </c>
    </row>
    <row r="307" spans="1:6" x14ac:dyDescent="0.25">
      <c r="A307" t="s">
        <v>29</v>
      </c>
      <c r="B307" t="s">
        <v>65</v>
      </c>
      <c r="C307">
        <v>2425705</v>
      </c>
      <c r="D307">
        <v>150</v>
      </c>
      <c r="E307">
        <v>2301356</v>
      </c>
      <c r="F307">
        <f t="shared" si="4"/>
        <v>1.0540329266745345</v>
      </c>
    </row>
    <row r="308" spans="1:6" x14ac:dyDescent="0.25">
      <c r="A308" t="s">
        <v>30</v>
      </c>
      <c r="B308" t="s">
        <v>65</v>
      </c>
      <c r="C308">
        <v>2433442</v>
      </c>
      <c r="D308">
        <v>150</v>
      </c>
      <c r="E308">
        <v>2304854</v>
      </c>
      <c r="F308">
        <f t="shared" si="4"/>
        <v>1.0557900847515722</v>
      </c>
    </row>
    <row r="309" spans="1:6" x14ac:dyDescent="0.25">
      <c r="A309" t="s">
        <v>31</v>
      </c>
      <c r="B309" t="s">
        <v>65</v>
      </c>
      <c r="C309">
        <v>2431590</v>
      </c>
      <c r="D309">
        <v>150</v>
      </c>
      <c r="E309">
        <v>2314077</v>
      </c>
      <c r="F309">
        <f t="shared" si="4"/>
        <v>1.0507818019884385</v>
      </c>
    </row>
    <row r="310" spans="1:6" x14ac:dyDescent="0.25">
      <c r="A310" t="s">
        <v>32</v>
      </c>
      <c r="B310" t="s">
        <v>65</v>
      </c>
      <c r="C310">
        <v>2477784</v>
      </c>
      <c r="D310">
        <v>150</v>
      </c>
      <c r="E310">
        <v>2318156</v>
      </c>
      <c r="F310">
        <f t="shared" si="4"/>
        <v>1.0688599041652072</v>
      </c>
    </row>
    <row r="311" spans="1:6" x14ac:dyDescent="0.25">
      <c r="A311" t="s">
        <v>33</v>
      </c>
      <c r="B311" t="s">
        <v>65</v>
      </c>
      <c r="C311">
        <v>2438929</v>
      </c>
      <c r="D311">
        <v>150</v>
      </c>
      <c r="E311">
        <v>2313679</v>
      </c>
      <c r="F311">
        <f t="shared" si="4"/>
        <v>1.0541345623139597</v>
      </c>
    </row>
    <row r="312" spans="1:6" x14ac:dyDescent="0.25">
      <c r="A312" t="s">
        <v>29</v>
      </c>
      <c r="B312" t="s">
        <v>65</v>
      </c>
      <c r="C312">
        <v>2444201</v>
      </c>
      <c r="D312">
        <v>180</v>
      </c>
      <c r="E312">
        <v>2301356</v>
      </c>
      <c r="F312">
        <f t="shared" si="4"/>
        <v>1.0620699274688488</v>
      </c>
    </row>
    <row r="313" spans="1:6" x14ac:dyDescent="0.25">
      <c r="A313" t="s">
        <v>30</v>
      </c>
      <c r="B313" t="s">
        <v>65</v>
      </c>
      <c r="C313">
        <v>2447389</v>
      </c>
      <c r="D313">
        <v>180</v>
      </c>
      <c r="E313">
        <v>2304854</v>
      </c>
      <c r="F313">
        <f t="shared" si="4"/>
        <v>1.0618412272534399</v>
      </c>
    </row>
    <row r="314" spans="1:6" x14ac:dyDescent="0.25">
      <c r="A314" t="s">
        <v>31</v>
      </c>
      <c r="B314" t="s">
        <v>65</v>
      </c>
      <c r="C314">
        <v>2443451</v>
      </c>
      <c r="D314">
        <v>180</v>
      </c>
      <c r="E314">
        <v>2314077</v>
      </c>
      <c r="F314">
        <f t="shared" si="4"/>
        <v>1.055907387697125</v>
      </c>
    </row>
    <row r="315" spans="1:6" x14ac:dyDescent="0.25">
      <c r="A315" t="s">
        <v>32</v>
      </c>
      <c r="B315" t="s">
        <v>65</v>
      </c>
      <c r="C315">
        <v>2480191</v>
      </c>
      <c r="D315">
        <v>180</v>
      </c>
      <c r="E315">
        <v>2318156</v>
      </c>
      <c r="F315">
        <f t="shared" si="4"/>
        <v>1.0698982294547907</v>
      </c>
    </row>
    <row r="316" spans="1:6" x14ac:dyDescent="0.25">
      <c r="A316" t="s">
        <v>33</v>
      </c>
      <c r="B316" t="s">
        <v>65</v>
      </c>
      <c r="C316">
        <v>2476950</v>
      </c>
      <c r="D316">
        <v>180</v>
      </c>
      <c r="E316">
        <v>2313679</v>
      </c>
      <c r="F316">
        <f t="shared" si="4"/>
        <v>1.0705676975933136</v>
      </c>
    </row>
    <row r="317" spans="1:6" x14ac:dyDescent="0.25">
      <c r="A317" t="s">
        <v>0</v>
      </c>
      <c r="B317" t="s">
        <v>60</v>
      </c>
    </row>
    <row r="318" spans="1:6" x14ac:dyDescent="0.25">
      <c r="A318" t="s">
        <v>0</v>
      </c>
      <c r="B318" t="s">
        <v>66</v>
      </c>
    </row>
    <row r="319" spans="1:6" x14ac:dyDescent="0.25">
      <c r="A319" t="s">
        <v>0</v>
      </c>
      <c r="B319" t="s">
        <v>67</v>
      </c>
    </row>
  </sheetData>
  <autoFilter ref="A1:F318" xr:uid="{5B6C1140-DCF2-40F1-8E17-DD08ED486B65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81B0-1B26-435A-9948-C4A354BEF700}">
  <sheetPr filterMode="1"/>
  <dimension ref="A1:F98"/>
  <sheetViews>
    <sheetView workbookViewId="0">
      <selection activeCell="I7" sqref="I7"/>
    </sheetView>
  </sheetViews>
  <sheetFormatPr defaultRowHeight="15" x14ac:dyDescent="0.25"/>
  <cols>
    <col min="1" max="1" width="12.28515625" customWidth="1"/>
    <col min="2" max="2" width="16.28515625" customWidth="1"/>
  </cols>
  <sheetData>
    <row r="1" spans="1:6" x14ac:dyDescent="0.25">
      <c r="A1" t="s">
        <v>3</v>
      </c>
      <c r="B1" t="s">
        <v>8</v>
      </c>
      <c r="C1" t="s">
        <v>20</v>
      </c>
      <c r="D1" t="s">
        <v>21</v>
      </c>
      <c r="E1" t="s">
        <v>82</v>
      </c>
      <c r="F1" t="s">
        <v>83</v>
      </c>
    </row>
    <row r="2" spans="1:6" x14ac:dyDescent="0.25">
      <c r="A2" t="s">
        <v>84</v>
      </c>
      <c r="B2" t="s">
        <v>180</v>
      </c>
      <c r="C2">
        <v>162146</v>
      </c>
      <c r="D2">
        <v>15</v>
      </c>
      <c r="E2">
        <v>0</v>
      </c>
      <c r="F2">
        <v>0</v>
      </c>
    </row>
    <row r="3" spans="1:6" x14ac:dyDescent="0.25">
      <c r="A3" t="s">
        <v>85</v>
      </c>
      <c r="B3" t="s">
        <v>180</v>
      </c>
      <c r="C3">
        <v>153122</v>
      </c>
      <c r="D3">
        <v>15</v>
      </c>
      <c r="E3">
        <v>0</v>
      </c>
      <c r="F3">
        <v>0</v>
      </c>
    </row>
    <row r="4" spans="1:6" x14ac:dyDescent="0.25">
      <c r="A4" t="s">
        <v>86</v>
      </c>
      <c r="B4" t="s">
        <v>180</v>
      </c>
      <c r="C4">
        <v>140685</v>
      </c>
      <c r="D4">
        <v>15</v>
      </c>
      <c r="E4">
        <v>0</v>
      </c>
      <c r="F4">
        <v>0</v>
      </c>
    </row>
    <row r="5" spans="1:6" x14ac:dyDescent="0.25">
      <c r="A5" t="s">
        <v>87</v>
      </c>
      <c r="B5" t="s">
        <v>181</v>
      </c>
      <c r="C5">
        <v>179959</v>
      </c>
      <c r="D5">
        <v>15</v>
      </c>
      <c r="E5">
        <v>2</v>
      </c>
      <c r="F5">
        <v>0</v>
      </c>
    </row>
    <row r="6" spans="1:6" x14ac:dyDescent="0.25">
      <c r="A6" t="s">
        <v>88</v>
      </c>
      <c r="B6" t="s">
        <v>181</v>
      </c>
      <c r="C6">
        <v>168718</v>
      </c>
      <c r="D6">
        <v>15</v>
      </c>
      <c r="E6">
        <v>2</v>
      </c>
      <c r="F6">
        <v>0</v>
      </c>
    </row>
    <row r="7" spans="1:6" x14ac:dyDescent="0.25">
      <c r="A7" t="s">
        <v>89</v>
      </c>
      <c r="B7" t="s">
        <v>181</v>
      </c>
      <c r="C7">
        <v>171478</v>
      </c>
      <c r="D7">
        <v>15</v>
      </c>
      <c r="E7">
        <v>2</v>
      </c>
      <c r="F7">
        <v>0</v>
      </c>
    </row>
    <row r="8" spans="1:6" x14ac:dyDescent="0.25">
      <c r="A8" t="s">
        <v>90</v>
      </c>
      <c r="B8" t="s">
        <v>182</v>
      </c>
      <c r="C8">
        <v>183299</v>
      </c>
      <c r="D8">
        <v>15</v>
      </c>
      <c r="E8">
        <v>20</v>
      </c>
      <c r="F8">
        <v>0</v>
      </c>
    </row>
    <row r="9" spans="1:6" x14ac:dyDescent="0.25">
      <c r="A9" t="s">
        <v>91</v>
      </c>
      <c r="B9" t="s">
        <v>182</v>
      </c>
      <c r="C9">
        <v>185771</v>
      </c>
      <c r="D9">
        <v>15</v>
      </c>
      <c r="E9">
        <v>20</v>
      </c>
      <c r="F9">
        <v>0</v>
      </c>
    </row>
    <row r="10" spans="1:6" x14ac:dyDescent="0.25">
      <c r="A10" t="s">
        <v>92</v>
      </c>
      <c r="B10" t="s">
        <v>182</v>
      </c>
      <c r="C10">
        <v>187396</v>
      </c>
      <c r="D10">
        <v>15</v>
      </c>
      <c r="E10">
        <v>20</v>
      </c>
      <c r="F10">
        <v>0</v>
      </c>
    </row>
    <row r="11" spans="1:6" x14ac:dyDescent="0.25">
      <c r="A11" t="s">
        <v>93</v>
      </c>
      <c r="B11" t="s">
        <v>183</v>
      </c>
      <c r="C11">
        <v>205463</v>
      </c>
      <c r="D11">
        <v>15</v>
      </c>
      <c r="E11">
        <v>200</v>
      </c>
      <c r="F11">
        <v>0</v>
      </c>
    </row>
    <row r="12" spans="1:6" x14ac:dyDescent="0.25">
      <c r="A12" t="s">
        <v>94</v>
      </c>
      <c r="B12" t="s">
        <v>183</v>
      </c>
      <c r="C12">
        <v>208168</v>
      </c>
      <c r="D12">
        <v>15</v>
      </c>
      <c r="E12">
        <v>200</v>
      </c>
      <c r="F12">
        <v>0</v>
      </c>
    </row>
    <row r="13" spans="1:6" x14ac:dyDescent="0.25">
      <c r="A13" t="s">
        <v>95</v>
      </c>
      <c r="B13" t="s">
        <v>183</v>
      </c>
      <c r="C13">
        <v>196287</v>
      </c>
      <c r="D13">
        <v>15</v>
      </c>
      <c r="E13">
        <v>200</v>
      </c>
      <c r="F13">
        <v>0</v>
      </c>
    </row>
    <row r="14" spans="1:6" hidden="1" x14ac:dyDescent="0.25">
      <c r="A14" t="s">
        <v>96</v>
      </c>
      <c r="B14" t="s">
        <v>184</v>
      </c>
      <c r="C14">
        <v>176158</v>
      </c>
      <c r="D14">
        <v>15</v>
      </c>
      <c r="E14">
        <v>0</v>
      </c>
      <c r="F14">
        <v>10</v>
      </c>
    </row>
    <row r="15" spans="1:6" hidden="1" x14ac:dyDescent="0.25">
      <c r="A15" t="s">
        <v>97</v>
      </c>
      <c r="B15" t="s">
        <v>184</v>
      </c>
      <c r="C15">
        <v>163239</v>
      </c>
      <c r="D15">
        <v>15</v>
      </c>
      <c r="E15">
        <v>0</v>
      </c>
      <c r="F15">
        <v>10</v>
      </c>
    </row>
    <row r="16" spans="1:6" hidden="1" x14ac:dyDescent="0.25">
      <c r="A16" t="s">
        <v>98</v>
      </c>
      <c r="B16" t="s">
        <v>184</v>
      </c>
      <c r="C16">
        <v>173835</v>
      </c>
      <c r="D16">
        <v>15</v>
      </c>
      <c r="E16">
        <v>0</v>
      </c>
      <c r="F16">
        <v>10</v>
      </c>
    </row>
    <row r="17" spans="1:6" hidden="1" x14ac:dyDescent="0.25">
      <c r="A17" t="s">
        <v>99</v>
      </c>
      <c r="B17" t="s">
        <v>185</v>
      </c>
      <c r="C17">
        <v>185071</v>
      </c>
      <c r="D17">
        <v>15</v>
      </c>
      <c r="E17">
        <v>2</v>
      </c>
      <c r="F17">
        <v>10</v>
      </c>
    </row>
    <row r="18" spans="1:6" hidden="1" x14ac:dyDescent="0.25">
      <c r="A18" t="s">
        <v>100</v>
      </c>
      <c r="B18" t="s">
        <v>185</v>
      </c>
      <c r="C18">
        <v>176727</v>
      </c>
      <c r="D18">
        <v>15</v>
      </c>
      <c r="E18">
        <v>2</v>
      </c>
      <c r="F18">
        <v>10</v>
      </c>
    </row>
    <row r="19" spans="1:6" hidden="1" x14ac:dyDescent="0.25">
      <c r="A19" t="s">
        <v>101</v>
      </c>
      <c r="B19" t="s">
        <v>185</v>
      </c>
      <c r="C19">
        <v>171608</v>
      </c>
      <c r="D19">
        <v>15</v>
      </c>
      <c r="E19">
        <v>2</v>
      </c>
      <c r="F19">
        <v>10</v>
      </c>
    </row>
    <row r="20" spans="1:6" hidden="1" x14ac:dyDescent="0.25">
      <c r="A20" t="s">
        <v>102</v>
      </c>
      <c r="B20" t="s">
        <v>186</v>
      </c>
      <c r="C20">
        <v>184207</v>
      </c>
      <c r="D20">
        <v>15</v>
      </c>
      <c r="E20">
        <v>20</v>
      </c>
      <c r="F20">
        <v>10</v>
      </c>
    </row>
    <row r="21" spans="1:6" hidden="1" x14ac:dyDescent="0.25">
      <c r="A21" t="s">
        <v>103</v>
      </c>
      <c r="B21" t="s">
        <v>186</v>
      </c>
      <c r="C21">
        <v>186982</v>
      </c>
      <c r="D21">
        <v>15</v>
      </c>
      <c r="E21">
        <v>20</v>
      </c>
      <c r="F21">
        <v>10</v>
      </c>
    </row>
    <row r="22" spans="1:6" hidden="1" x14ac:dyDescent="0.25">
      <c r="A22" t="s">
        <v>104</v>
      </c>
      <c r="B22" t="s">
        <v>186</v>
      </c>
      <c r="C22">
        <v>184377</v>
      </c>
      <c r="D22">
        <v>15</v>
      </c>
      <c r="E22">
        <v>20</v>
      </c>
      <c r="F22">
        <v>10</v>
      </c>
    </row>
    <row r="23" spans="1:6" hidden="1" x14ac:dyDescent="0.25">
      <c r="A23" t="s">
        <v>105</v>
      </c>
      <c r="B23" t="s">
        <v>187</v>
      </c>
      <c r="C23">
        <v>192679</v>
      </c>
      <c r="D23">
        <v>15</v>
      </c>
      <c r="E23">
        <v>200</v>
      </c>
      <c r="F23">
        <v>10</v>
      </c>
    </row>
    <row r="24" spans="1:6" hidden="1" x14ac:dyDescent="0.25">
      <c r="A24" t="s">
        <v>106</v>
      </c>
      <c r="B24" t="s">
        <v>187</v>
      </c>
      <c r="C24">
        <v>190993</v>
      </c>
      <c r="D24">
        <v>15</v>
      </c>
      <c r="E24">
        <v>200</v>
      </c>
      <c r="F24">
        <v>10</v>
      </c>
    </row>
    <row r="25" spans="1:6" hidden="1" x14ac:dyDescent="0.25">
      <c r="A25" t="s">
        <v>107</v>
      </c>
      <c r="B25" t="s">
        <v>187</v>
      </c>
      <c r="C25">
        <v>197430</v>
      </c>
      <c r="D25">
        <v>15</v>
      </c>
      <c r="E25">
        <v>200</v>
      </c>
      <c r="F25">
        <v>10</v>
      </c>
    </row>
    <row r="26" spans="1:6" hidden="1" x14ac:dyDescent="0.25">
      <c r="A26" t="s">
        <v>108</v>
      </c>
      <c r="B26" t="s">
        <v>188</v>
      </c>
      <c r="C26">
        <v>198982</v>
      </c>
      <c r="D26">
        <v>15</v>
      </c>
      <c r="E26">
        <v>0</v>
      </c>
      <c r="F26">
        <v>160</v>
      </c>
    </row>
    <row r="27" spans="1:6" hidden="1" x14ac:dyDescent="0.25">
      <c r="A27" t="s">
        <v>109</v>
      </c>
      <c r="B27" t="s">
        <v>188</v>
      </c>
      <c r="C27">
        <v>191982</v>
      </c>
      <c r="D27">
        <v>15</v>
      </c>
      <c r="E27">
        <v>0</v>
      </c>
      <c r="F27">
        <v>160</v>
      </c>
    </row>
    <row r="28" spans="1:6" hidden="1" x14ac:dyDescent="0.25">
      <c r="A28" t="s">
        <v>110</v>
      </c>
      <c r="B28" t="s">
        <v>188</v>
      </c>
      <c r="C28">
        <v>232356</v>
      </c>
      <c r="D28">
        <v>15</v>
      </c>
      <c r="E28">
        <v>0</v>
      </c>
      <c r="F28">
        <v>160</v>
      </c>
    </row>
    <row r="29" spans="1:6" hidden="1" x14ac:dyDescent="0.25">
      <c r="A29" t="s">
        <v>111</v>
      </c>
      <c r="B29" t="s">
        <v>189</v>
      </c>
      <c r="C29">
        <v>223299</v>
      </c>
      <c r="D29">
        <v>15</v>
      </c>
      <c r="E29">
        <v>2</v>
      </c>
      <c r="F29">
        <v>160</v>
      </c>
    </row>
    <row r="30" spans="1:6" hidden="1" x14ac:dyDescent="0.25">
      <c r="A30" t="s">
        <v>112</v>
      </c>
      <c r="B30" t="s">
        <v>189</v>
      </c>
      <c r="C30">
        <v>205755</v>
      </c>
      <c r="D30">
        <v>15</v>
      </c>
      <c r="E30">
        <v>2</v>
      </c>
      <c r="F30">
        <v>160</v>
      </c>
    </row>
    <row r="31" spans="1:6" hidden="1" x14ac:dyDescent="0.25">
      <c r="A31" t="s">
        <v>113</v>
      </c>
      <c r="B31" t="s">
        <v>189</v>
      </c>
      <c r="C31">
        <v>193411</v>
      </c>
      <c r="D31">
        <v>15</v>
      </c>
      <c r="E31">
        <v>2</v>
      </c>
      <c r="F31">
        <v>160</v>
      </c>
    </row>
    <row r="32" spans="1:6" hidden="1" x14ac:dyDescent="0.25">
      <c r="A32" t="s">
        <v>114</v>
      </c>
      <c r="B32" t="s">
        <v>190</v>
      </c>
      <c r="C32">
        <v>218224</v>
      </c>
      <c r="D32">
        <v>15</v>
      </c>
      <c r="E32">
        <v>20</v>
      </c>
      <c r="F32">
        <v>160</v>
      </c>
    </row>
    <row r="33" spans="1:6" hidden="1" x14ac:dyDescent="0.25">
      <c r="A33" t="s">
        <v>115</v>
      </c>
      <c r="B33" t="s">
        <v>190</v>
      </c>
      <c r="C33">
        <v>216615</v>
      </c>
      <c r="D33">
        <v>15</v>
      </c>
      <c r="E33">
        <v>20</v>
      </c>
      <c r="F33">
        <v>160</v>
      </c>
    </row>
    <row r="34" spans="1:6" hidden="1" x14ac:dyDescent="0.25">
      <c r="A34" t="s">
        <v>116</v>
      </c>
      <c r="B34" t="s">
        <v>190</v>
      </c>
      <c r="C34">
        <v>234834</v>
      </c>
      <c r="D34">
        <v>15</v>
      </c>
      <c r="E34">
        <v>20</v>
      </c>
      <c r="F34">
        <v>160</v>
      </c>
    </row>
    <row r="35" spans="1:6" hidden="1" x14ac:dyDescent="0.25">
      <c r="A35" t="s">
        <v>117</v>
      </c>
      <c r="B35" t="s">
        <v>191</v>
      </c>
      <c r="C35">
        <v>222887</v>
      </c>
      <c r="D35">
        <v>15</v>
      </c>
      <c r="E35">
        <v>200</v>
      </c>
      <c r="F35">
        <v>160</v>
      </c>
    </row>
    <row r="36" spans="1:6" hidden="1" x14ac:dyDescent="0.25">
      <c r="A36" t="s">
        <v>118</v>
      </c>
      <c r="B36" t="s">
        <v>191</v>
      </c>
      <c r="C36">
        <v>225334</v>
      </c>
      <c r="D36">
        <v>15</v>
      </c>
      <c r="E36">
        <v>200</v>
      </c>
      <c r="F36">
        <v>160</v>
      </c>
    </row>
    <row r="37" spans="1:6" hidden="1" x14ac:dyDescent="0.25">
      <c r="A37" t="s">
        <v>119</v>
      </c>
      <c r="B37" t="s">
        <v>191</v>
      </c>
      <c r="C37">
        <v>210721</v>
      </c>
      <c r="D37">
        <v>15</v>
      </c>
      <c r="E37">
        <v>200</v>
      </c>
      <c r="F37">
        <v>160</v>
      </c>
    </row>
    <row r="38" spans="1:6" hidden="1" x14ac:dyDescent="0.25">
      <c r="A38" t="s">
        <v>120</v>
      </c>
      <c r="B38" t="s">
        <v>192</v>
      </c>
      <c r="C38">
        <v>168591</v>
      </c>
      <c r="D38">
        <v>15</v>
      </c>
      <c r="E38">
        <v>0</v>
      </c>
      <c r="F38">
        <v>2.5</v>
      </c>
    </row>
    <row r="39" spans="1:6" hidden="1" x14ac:dyDescent="0.25">
      <c r="A39" t="s">
        <v>121</v>
      </c>
      <c r="B39" t="s">
        <v>192</v>
      </c>
      <c r="C39">
        <v>165310</v>
      </c>
      <c r="D39">
        <v>15</v>
      </c>
      <c r="E39">
        <v>0</v>
      </c>
      <c r="F39">
        <v>2.5</v>
      </c>
    </row>
    <row r="40" spans="1:6" hidden="1" x14ac:dyDescent="0.25">
      <c r="A40" t="s">
        <v>122</v>
      </c>
      <c r="B40" t="s">
        <v>192</v>
      </c>
      <c r="C40">
        <v>151709</v>
      </c>
      <c r="D40">
        <v>15</v>
      </c>
      <c r="E40">
        <v>0</v>
      </c>
      <c r="F40">
        <v>2.5</v>
      </c>
    </row>
    <row r="41" spans="1:6" hidden="1" x14ac:dyDescent="0.25">
      <c r="A41" t="s">
        <v>123</v>
      </c>
      <c r="B41" t="s">
        <v>193</v>
      </c>
      <c r="C41">
        <v>184078</v>
      </c>
      <c r="D41">
        <v>15</v>
      </c>
      <c r="E41">
        <v>2</v>
      </c>
      <c r="F41">
        <v>2.5</v>
      </c>
    </row>
    <row r="42" spans="1:6" hidden="1" x14ac:dyDescent="0.25">
      <c r="A42" t="s">
        <v>124</v>
      </c>
      <c r="B42" t="s">
        <v>193</v>
      </c>
      <c r="C42">
        <v>185704</v>
      </c>
      <c r="D42">
        <v>15</v>
      </c>
      <c r="E42">
        <v>2</v>
      </c>
      <c r="F42">
        <v>2.5</v>
      </c>
    </row>
    <row r="43" spans="1:6" hidden="1" x14ac:dyDescent="0.25">
      <c r="A43" t="s">
        <v>125</v>
      </c>
      <c r="B43" t="s">
        <v>193</v>
      </c>
      <c r="C43">
        <v>167018</v>
      </c>
      <c r="D43">
        <v>15</v>
      </c>
      <c r="E43">
        <v>2</v>
      </c>
      <c r="F43">
        <v>2.5</v>
      </c>
    </row>
    <row r="44" spans="1:6" hidden="1" x14ac:dyDescent="0.25">
      <c r="A44" t="s">
        <v>126</v>
      </c>
      <c r="B44" t="s">
        <v>194</v>
      </c>
      <c r="C44">
        <v>198542</v>
      </c>
      <c r="D44">
        <v>15</v>
      </c>
      <c r="E44">
        <v>20</v>
      </c>
      <c r="F44">
        <v>2.5</v>
      </c>
    </row>
    <row r="45" spans="1:6" hidden="1" x14ac:dyDescent="0.25">
      <c r="A45" t="s">
        <v>127</v>
      </c>
      <c r="B45" t="s">
        <v>194</v>
      </c>
      <c r="C45">
        <v>186861</v>
      </c>
      <c r="D45">
        <v>15</v>
      </c>
      <c r="E45">
        <v>20</v>
      </c>
      <c r="F45">
        <v>2.5</v>
      </c>
    </row>
    <row r="46" spans="1:6" hidden="1" x14ac:dyDescent="0.25">
      <c r="A46" t="s">
        <v>128</v>
      </c>
      <c r="B46" t="s">
        <v>194</v>
      </c>
      <c r="C46">
        <v>188162</v>
      </c>
      <c r="D46">
        <v>15</v>
      </c>
      <c r="E46">
        <v>20</v>
      </c>
      <c r="F46">
        <v>2.5</v>
      </c>
    </row>
    <row r="47" spans="1:6" hidden="1" x14ac:dyDescent="0.25">
      <c r="A47" t="s">
        <v>129</v>
      </c>
      <c r="B47" t="s">
        <v>195</v>
      </c>
      <c r="C47">
        <v>200578</v>
      </c>
      <c r="D47">
        <v>15</v>
      </c>
      <c r="E47">
        <v>200</v>
      </c>
      <c r="F47">
        <v>2.5</v>
      </c>
    </row>
    <row r="48" spans="1:6" hidden="1" x14ac:dyDescent="0.25">
      <c r="A48" t="s">
        <v>130</v>
      </c>
      <c r="B48" t="s">
        <v>195</v>
      </c>
      <c r="C48">
        <v>196764</v>
      </c>
      <c r="D48">
        <v>15</v>
      </c>
      <c r="E48">
        <v>200</v>
      </c>
      <c r="F48">
        <v>2.5</v>
      </c>
    </row>
    <row r="49" spans="1:6" hidden="1" x14ac:dyDescent="0.25">
      <c r="A49" t="s">
        <v>131</v>
      </c>
      <c r="B49" t="s">
        <v>195</v>
      </c>
      <c r="C49">
        <v>195393</v>
      </c>
      <c r="D49">
        <v>15</v>
      </c>
      <c r="E49">
        <v>200</v>
      </c>
      <c r="F49">
        <v>2.5</v>
      </c>
    </row>
    <row r="50" spans="1:6" hidden="1" x14ac:dyDescent="0.25">
      <c r="A50" t="s">
        <v>132</v>
      </c>
      <c r="B50" t="s">
        <v>196</v>
      </c>
      <c r="C50">
        <v>173313</v>
      </c>
      <c r="D50">
        <v>15</v>
      </c>
      <c r="E50">
        <v>0</v>
      </c>
      <c r="F50">
        <v>20</v>
      </c>
    </row>
    <row r="51" spans="1:6" hidden="1" x14ac:dyDescent="0.25">
      <c r="A51" t="s">
        <v>133</v>
      </c>
      <c r="B51" t="s">
        <v>196</v>
      </c>
      <c r="C51">
        <v>178749</v>
      </c>
      <c r="D51">
        <v>15</v>
      </c>
      <c r="E51">
        <v>0</v>
      </c>
      <c r="F51">
        <v>20</v>
      </c>
    </row>
    <row r="52" spans="1:6" hidden="1" x14ac:dyDescent="0.25">
      <c r="A52" t="s">
        <v>134</v>
      </c>
      <c r="B52" t="s">
        <v>196</v>
      </c>
      <c r="C52">
        <v>165876</v>
      </c>
      <c r="D52">
        <v>15</v>
      </c>
      <c r="E52">
        <v>0</v>
      </c>
      <c r="F52">
        <v>20</v>
      </c>
    </row>
    <row r="53" spans="1:6" hidden="1" x14ac:dyDescent="0.25">
      <c r="A53" t="s">
        <v>135</v>
      </c>
      <c r="B53" t="s">
        <v>197</v>
      </c>
      <c r="C53">
        <v>184366</v>
      </c>
      <c r="D53">
        <v>15</v>
      </c>
      <c r="E53">
        <v>2</v>
      </c>
      <c r="F53">
        <v>20</v>
      </c>
    </row>
    <row r="54" spans="1:6" hidden="1" x14ac:dyDescent="0.25">
      <c r="A54" t="s">
        <v>136</v>
      </c>
      <c r="B54" t="s">
        <v>197</v>
      </c>
      <c r="C54">
        <v>177465</v>
      </c>
      <c r="D54">
        <v>15</v>
      </c>
      <c r="E54">
        <v>2</v>
      </c>
      <c r="F54">
        <v>20</v>
      </c>
    </row>
    <row r="55" spans="1:6" hidden="1" x14ac:dyDescent="0.25">
      <c r="A55" t="s">
        <v>137</v>
      </c>
      <c r="B55" t="s">
        <v>197</v>
      </c>
      <c r="C55">
        <v>168709</v>
      </c>
      <c r="D55">
        <v>15</v>
      </c>
      <c r="E55">
        <v>2</v>
      </c>
      <c r="F55">
        <v>20</v>
      </c>
    </row>
    <row r="56" spans="1:6" hidden="1" x14ac:dyDescent="0.25">
      <c r="A56" t="s">
        <v>138</v>
      </c>
      <c r="B56" t="s">
        <v>198</v>
      </c>
      <c r="C56">
        <v>185649</v>
      </c>
      <c r="D56">
        <v>15</v>
      </c>
      <c r="E56">
        <v>20</v>
      </c>
      <c r="F56">
        <v>20</v>
      </c>
    </row>
    <row r="57" spans="1:6" hidden="1" x14ac:dyDescent="0.25">
      <c r="A57" t="s">
        <v>139</v>
      </c>
      <c r="B57" t="s">
        <v>198</v>
      </c>
      <c r="C57">
        <v>185256</v>
      </c>
      <c r="D57">
        <v>15</v>
      </c>
      <c r="E57">
        <v>20</v>
      </c>
      <c r="F57">
        <v>20</v>
      </c>
    </row>
    <row r="58" spans="1:6" hidden="1" x14ac:dyDescent="0.25">
      <c r="A58" t="s">
        <v>140</v>
      </c>
      <c r="B58" t="s">
        <v>198</v>
      </c>
      <c r="C58">
        <v>176499</v>
      </c>
      <c r="D58">
        <v>15</v>
      </c>
      <c r="E58">
        <v>20</v>
      </c>
      <c r="F58">
        <v>20</v>
      </c>
    </row>
    <row r="59" spans="1:6" hidden="1" x14ac:dyDescent="0.25">
      <c r="A59" t="s">
        <v>141</v>
      </c>
      <c r="B59" t="s">
        <v>199</v>
      </c>
      <c r="C59">
        <v>197244</v>
      </c>
      <c r="D59">
        <v>15</v>
      </c>
      <c r="E59">
        <v>200</v>
      </c>
      <c r="F59">
        <v>20</v>
      </c>
    </row>
    <row r="60" spans="1:6" hidden="1" x14ac:dyDescent="0.25">
      <c r="A60" t="s">
        <v>142</v>
      </c>
      <c r="B60" t="s">
        <v>199</v>
      </c>
      <c r="C60">
        <v>193043</v>
      </c>
      <c r="D60">
        <v>15</v>
      </c>
      <c r="E60">
        <v>200</v>
      </c>
      <c r="F60">
        <v>20</v>
      </c>
    </row>
    <row r="61" spans="1:6" hidden="1" x14ac:dyDescent="0.25">
      <c r="A61" t="s">
        <v>143</v>
      </c>
      <c r="B61" t="s">
        <v>199</v>
      </c>
      <c r="C61">
        <v>194857</v>
      </c>
      <c r="D61">
        <v>15</v>
      </c>
      <c r="E61">
        <v>200</v>
      </c>
      <c r="F61">
        <v>20</v>
      </c>
    </row>
    <row r="62" spans="1:6" hidden="1" x14ac:dyDescent="0.25">
      <c r="A62" t="s">
        <v>144</v>
      </c>
      <c r="B62" t="s">
        <v>200</v>
      </c>
      <c r="C62">
        <v>168587</v>
      </c>
      <c r="D62">
        <v>15</v>
      </c>
      <c r="E62">
        <v>0</v>
      </c>
      <c r="F62">
        <v>40</v>
      </c>
    </row>
    <row r="63" spans="1:6" hidden="1" x14ac:dyDescent="0.25">
      <c r="A63" t="s">
        <v>145</v>
      </c>
      <c r="B63" t="s">
        <v>200</v>
      </c>
      <c r="C63">
        <v>174550</v>
      </c>
      <c r="D63">
        <v>15</v>
      </c>
      <c r="E63">
        <v>0</v>
      </c>
      <c r="F63">
        <v>40</v>
      </c>
    </row>
    <row r="64" spans="1:6" hidden="1" x14ac:dyDescent="0.25">
      <c r="A64" t="s">
        <v>146</v>
      </c>
      <c r="B64" t="s">
        <v>200</v>
      </c>
      <c r="C64">
        <v>181419</v>
      </c>
      <c r="D64">
        <v>15</v>
      </c>
      <c r="E64">
        <v>0</v>
      </c>
      <c r="F64">
        <v>40</v>
      </c>
    </row>
    <row r="65" spans="1:6" hidden="1" x14ac:dyDescent="0.25">
      <c r="A65" t="s">
        <v>147</v>
      </c>
      <c r="B65" t="s">
        <v>201</v>
      </c>
      <c r="C65">
        <v>186914</v>
      </c>
      <c r="D65">
        <v>15</v>
      </c>
      <c r="E65">
        <v>2</v>
      </c>
      <c r="F65">
        <v>40</v>
      </c>
    </row>
    <row r="66" spans="1:6" hidden="1" x14ac:dyDescent="0.25">
      <c r="A66" t="s">
        <v>148</v>
      </c>
      <c r="B66" t="s">
        <v>201</v>
      </c>
      <c r="C66">
        <v>185592</v>
      </c>
      <c r="D66">
        <v>15</v>
      </c>
      <c r="E66">
        <v>2</v>
      </c>
      <c r="F66">
        <v>40</v>
      </c>
    </row>
    <row r="67" spans="1:6" hidden="1" x14ac:dyDescent="0.25">
      <c r="A67" t="s">
        <v>149</v>
      </c>
      <c r="B67" t="s">
        <v>201</v>
      </c>
      <c r="C67">
        <v>175293</v>
      </c>
      <c r="D67">
        <v>15</v>
      </c>
      <c r="E67">
        <v>2</v>
      </c>
      <c r="F67">
        <v>40</v>
      </c>
    </row>
    <row r="68" spans="1:6" hidden="1" x14ac:dyDescent="0.25">
      <c r="A68" t="s">
        <v>150</v>
      </c>
      <c r="B68" t="s">
        <v>202</v>
      </c>
      <c r="C68">
        <v>192032</v>
      </c>
      <c r="D68">
        <v>15</v>
      </c>
      <c r="E68">
        <v>20</v>
      </c>
      <c r="F68">
        <v>40</v>
      </c>
    </row>
    <row r="69" spans="1:6" hidden="1" x14ac:dyDescent="0.25">
      <c r="A69" t="s">
        <v>151</v>
      </c>
      <c r="B69" t="s">
        <v>202</v>
      </c>
      <c r="C69">
        <v>195892</v>
      </c>
      <c r="D69">
        <v>15</v>
      </c>
      <c r="E69">
        <v>20</v>
      </c>
      <c r="F69">
        <v>40</v>
      </c>
    </row>
    <row r="70" spans="1:6" hidden="1" x14ac:dyDescent="0.25">
      <c r="A70" t="s">
        <v>152</v>
      </c>
      <c r="B70" t="s">
        <v>202</v>
      </c>
      <c r="C70">
        <v>193399</v>
      </c>
      <c r="D70">
        <v>15</v>
      </c>
      <c r="E70">
        <v>20</v>
      </c>
      <c r="F70">
        <v>40</v>
      </c>
    </row>
    <row r="71" spans="1:6" hidden="1" x14ac:dyDescent="0.25">
      <c r="A71" t="s">
        <v>153</v>
      </c>
      <c r="B71" t="s">
        <v>203</v>
      </c>
      <c r="C71">
        <v>203258</v>
      </c>
      <c r="D71">
        <v>15</v>
      </c>
      <c r="E71">
        <v>200</v>
      </c>
      <c r="F71">
        <v>40</v>
      </c>
    </row>
    <row r="72" spans="1:6" hidden="1" x14ac:dyDescent="0.25">
      <c r="A72" t="s">
        <v>154</v>
      </c>
      <c r="B72" t="s">
        <v>203</v>
      </c>
      <c r="C72">
        <v>202660</v>
      </c>
      <c r="D72">
        <v>15</v>
      </c>
      <c r="E72">
        <v>200</v>
      </c>
      <c r="F72">
        <v>40</v>
      </c>
    </row>
    <row r="73" spans="1:6" hidden="1" x14ac:dyDescent="0.25">
      <c r="A73" t="s">
        <v>155</v>
      </c>
      <c r="B73" t="s">
        <v>203</v>
      </c>
      <c r="C73">
        <v>193525</v>
      </c>
      <c r="D73">
        <v>15</v>
      </c>
      <c r="E73">
        <v>200</v>
      </c>
      <c r="F73">
        <v>40</v>
      </c>
    </row>
    <row r="74" spans="1:6" x14ac:dyDescent="0.25">
      <c r="A74" t="s">
        <v>156</v>
      </c>
      <c r="B74" t="s">
        <v>204</v>
      </c>
      <c r="C74">
        <v>166629</v>
      </c>
      <c r="D74">
        <v>15</v>
      </c>
      <c r="E74">
        <v>0</v>
      </c>
      <c r="F74">
        <v>5</v>
      </c>
    </row>
    <row r="75" spans="1:6" x14ac:dyDescent="0.25">
      <c r="A75" t="s">
        <v>157</v>
      </c>
      <c r="B75" t="s">
        <v>204</v>
      </c>
      <c r="C75">
        <v>164462</v>
      </c>
      <c r="D75">
        <v>15</v>
      </c>
      <c r="E75">
        <v>0</v>
      </c>
      <c r="F75">
        <v>5</v>
      </c>
    </row>
    <row r="76" spans="1:6" x14ac:dyDescent="0.25">
      <c r="A76" t="s">
        <v>158</v>
      </c>
      <c r="B76" t="s">
        <v>204</v>
      </c>
      <c r="C76">
        <v>160435</v>
      </c>
      <c r="D76">
        <v>15</v>
      </c>
      <c r="E76">
        <v>0</v>
      </c>
      <c r="F76">
        <v>5</v>
      </c>
    </row>
    <row r="77" spans="1:6" x14ac:dyDescent="0.25">
      <c r="A77" t="s">
        <v>159</v>
      </c>
      <c r="B77" t="s">
        <v>205</v>
      </c>
      <c r="C77">
        <v>187190</v>
      </c>
      <c r="D77">
        <v>15</v>
      </c>
      <c r="E77">
        <v>2</v>
      </c>
      <c r="F77">
        <v>5</v>
      </c>
    </row>
    <row r="78" spans="1:6" x14ac:dyDescent="0.25">
      <c r="A78" t="s">
        <v>160</v>
      </c>
      <c r="B78" t="s">
        <v>205</v>
      </c>
      <c r="C78">
        <v>182119</v>
      </c>
      <c r="D78">
        <v>15</v>
      </c>
      <c r="E78">
        <v>2</v>
      </c>
      <c r="F78">
        <v>5</v>
      </c>
    </row>
    <row r="79" spans="1:6" x14ac:dyDescent="0.25">
      <c r="A79" t="s">
        <v>161</v>
      </c>
      <c r="B79" t="s">
        <v>205</v>
      </c>
      <c r="C79">
        <v>173328</v>
      </c>
      <c r="D79">
        <v>15</v>
      </c>
      <c r="E79">
        <v>2</v>
      </c>
      <c r="F79">
        <v>5</v>
      </c>
    </row>
    <row r="80" spans="1:6" x14ac:dyDescent="0.25">
      <c r="A80" t="s">
        <v>162</v>
      </c>
      <c r="B80" t="s">
        <v>206</v>
      </c>
      <c r="C80">
        <v>190630</v>
      </c>
      <c r="D80">
        <v>15</v>
      </c>
      <c r="E80">
        <v>20</v>
      </c>
      <c r="F80">
        <v>5</v>
      </c>
    </row>
    <row r="81" spans="1:6" x14ac:dyDescent="0.25">
      <c r="A81" t="s">
        <v>163</v>
      </c>
      <c r="B81" t="s">
        <v>206</v>
      </c>
      <c r="C81">
        <v>190291</v>
      </c>
      <c r="D81">
        <v>15</v>
      </c>
      <c r="E81">
        <v>20</v>
      </c>
      <c r="F81">
        <v>5</v>
      </c>
    </row>
    <row r="82" spans="1:6" x14ac:dyDescent="0.25">
      <c r="A82" t="s">
        <v>164</v>
      </c>
      <c r="B82" t="s">
        <v>206</v>
      </c>
      <c r="C82">
        <v>183036</v>
      </c>
      <c r="D82">
        <v>15</v>
      </c>
      <c r="E82">
        <v>20</v>
      </c>
      <c r="F82">
        <v>5</v>
      </c>
    </row>
    <row r="83" spans="1:6" x14ac:dyDescent="0.25">
      <c r="A83" t="s">
        <v>165</v>
      </c>
      <c r="B83" t="s">
        <v>207</v>
      </c>
      <c r="C83">
        <v>198206</v>
      </c>
      <c r="D83">
        <v>15</v>
      </c>
      <c r="E83">
        <v>200</v>
      </c>
      <c r="F83">
        <v>5</v>
      </c>
    </row>
    <row r="84" spans="1:6" x14ac:dyDescent="0.25">
      <c r="A84" t="s">
        <v>166</v>
      </c>
      <c r="B84" t="s">
        <v>207</v>
      </c>
      <c r="C84">
        <v>189237</v>
      </c>
      <c r="D84">
        <v>15</v>
      </c>
      <c r="E84">
        <v>200</v>
      </c>
      <c r="F84">
        <v>5</v>
      </c>
    </row>
    <row r="85" spans="1:6" x14ac:dyDescent="0.25">
      <c r="A85" t="s">
        <v>167</v>
      </c>
      <c r="B85" t="s">
        <v>207</v>
      </c>
      <c r="C85">
        <v>189752</v>
      </c>
      <c r="D85">
        <v>15</v>
      </c>
      <c r="E85">
        <v>200</v>
      </c>
      <c r="F85">
        <v>5</v>
      </c>
    </row>
    <row r="86" spans="1:6" hidden="1" x14ac:dyDescent="0.25">
      <c r="A86" t="s">
        <v>168</v>
      </c>
      <c r="B86" t="s">
        <v>208</v>
      </c>
      <c r="C86">
        <v>188848</v>
      </c>
      <c r="D86">
        <v>15</v>
      </c>
      <c r="E86">
        <v>0</v>
      </c>
      <c r="F86">
        <v>80</v>
      </c>
    </row>
    <row r="87" spans="1:6" hidden="1" x14ac:dyDescent="0.25">
      <c r="A87" t="s">
        <v>169</v>
      </c>
      <c r="B87" t="s">
        <v>208</v>
      </c>
      <c r="C87">
        <v>194993</v>
      </c>
      <c r="D87">
        <v>15</v>
      </c>
      <c r="E87">
        <v>0</v>
      </c>
      <c r="F87">
        <v>80</v>
      </c>
    </row>
    <row r="88" spans="1:6" hidden="1" x14ac:dyDescent="0.25">
      <c r="A88" t="s">
        <v>170</v>
      </c>
      <c r="B88" t="s">
        <v>208</v>
      </c>
      <c r="C88">
        <v>188335</v>
      </c>
      <c r="D88">
        <v>15</v>
      </c>
      <c r="E88">
        <v>0</v>
      </c>
      <c r="F88">
        <v>80</v>
      </c>
    </row>
    <row r="89" spans="1:6" hidden="1" x14ac:dyDescent="0.25">
      <c r="A89" t="s">
        <v>171</v>
      </c>
      <c r="B89" t="s">
        <v>209</v>
      </c>
      <c r="C89">
        <v>201448</v>
      </c>
      <c r="D89">
        <v>15</v>
      </c>
      <c r="E89">
        <v>2</v>
      </c>
      <c r="F89">
        <v>80</v>
      </c>
    </row>
    <row r="90" spans="1:6" hidden="1" x14ac:dyDescent="0.25">
      <c r="A90" t="s">
        <v>172</v>
      </c>
      <c r="B90" t="s">
        <v>209</v>
      </c>
      <c r="C90">
        <v>191664</v>
      </c>
      <c r="D90">
        <v>15</v>
      </c>
      <c r="E90">
        <v>2</v>
      </c>
      <c r="F90">
        <v>80</v>
      </c>
    </row>
    <row r="91" spans="1:6" hidden="1" x14ac:dyDescent="0.25">
      <c r="A91" t="s">
        <v>173</v>
      </c>
      <c r="B91" t="s">
        <v>209</v>
      </c>
      <c r="C91">
        <v>187486</v>
      </c>
      <c r="D91">
        <v>15</v>
      </c>
      <c r="E91">
        <v>2</v>
      </c>
      <c r="F91">
        <v>80</v>
      </c>
    </row>
    <row r="92" spans="1:6" hidden="1" x14ac:dyDescent="0.25">
      <c r="A92" t="s">
        <v>174</v>
      </c>
      <c r="B92" t="s">
        <v>210</v>
      </c>
      <c r="C92">
        <v>211252</v>
      </c>
      <c r="D92">
        <v>15</v>
      </c>
      <c r="E92">
        <v>20</v>
      </c>
      <c r="F92">
        <v>80</v>
      </c>
    </row>
    <row r="93" spans="1:6" hidden="1" x14ac:dyDescent="0.25">
      <c r="A93" t="s">
        <v>175</v>
      </c>
      <c r="B93" t="s">
        <v>210</v>
      </c>
      <c r="C93">
        <v>202809</v>
      </c>
      <c r="D93">
        <v>15</v>
      </c>
      <c r="E93">
        <v>20</v>
      </c>
      <c r="F93">
        <v>80</v>
      </c>
    </row>
    <row r="94" spans="1:6" hidden="1" x14ac:dyDescent="0.25">
      <c r="A94" t="s">
        <v>176</v>
      </c>
      <c r="B94" t="s">
        <v>210</v>
      </c>
      <c r="C94">
        <v>224927</v>
      </c>
      <c r="D94">
        <v>15</v>
      </c>
      <c r="E94">
        <v>20</v>
      </c>
      <c r="F94">
        <v>80</v>
      </c>
    </row>
    <row r="95" spans="1:6" hidden="1" x14ac:dyDescent="0.25">
      <c r="A95" t="s">
        <v>177</v>
      </c>
      <c r="B95" t="s">
        <v>211</v>
      </c>
      <c r="C95">
        <v>214784</v>
      </c>
      <c r="D95">
        <v>15</v>
      </c>
      <c r="E95">
        <v>200</v>
      </c>
      <c r="F95">
        <v>80</v>
      </c>
    </row>
    <row r="96" spans="1:6" hidden="1" x14ac:dyDescent="0.25">
      <c r="A96" t="s">
        <v>178</v>
      </c>
      <c r="B96" t="s">
        <v>211</v>
      </c>
      <c r="C96">
        <v>234795</v>
      </c>
      <c r="D96">
        <v>15</v>
      </c>
      <c r="E96">
        <v>200</v>
      </c>
      <c r="F96">
        <v>80</v>
      </c>
    </row>
    <row r="97" spans="1:6" hidden="1" x14ac:dyDescent="0.25">
      <c r="A97" t="s">
        <v>179</v>
      </c>
      <c r="B97" t="s">
        <v>211</v>
      </c>
      <c r="C97">
        <v>215261</v>
      </c>
      <c r="D97">
        <v>15</v>
      </c>
      <c r="E97">
        <v>200</v>
      </c>
      <c r="F97">
        <v>80</v>
      </c>
    </row>
    <row r="98" spans="1:6" hidden="1" x14ac:dyDescent="0.25">
      <c r="A98" t="s">
        <v>0</v>
      </c>
      <c r="B98" t="s">
        <v>81</v>
      </c>
    </row>
  </sheetData>
  <autoFilter ref="A1:F98" xr:uid="{A43B81B0-1B26-435A-9948-C4A354BEF700}">
    <filterColumn colId="5">
      <filters>
        <filter val="0"/>
        <filter val="5"/>
      </filters>
    </filterColumn>
  </autoFilter>
  <sortState xmlns:xlrd2="http://schemas.microsoft.com/office/spreadsheetml/2017/richdata2" ref="A2:F98">
    <sortCondition ref="B2:B9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BC19-3450-4656-8013-EF0D60B65841}">
  <dimension ref="A1:C20"/>
  <sheetViews>
    <sheetView workbookViewId="0">
      <selection activeCell="I14" sqref="I14"/>
    </sheetView>
  </sheetViews>
  <sheetFormatPr defaultRowHeight="15" x14ac:dyDescent="0.25"/>
  <cols>
    <col min="2" max="2" width="9.140625" customWidth="1"/>
  </cols>
  <sheetData>
    <row r="1" spans="1:3" x14ac:dyDescent="0.25">
      <c r="A1" t="s">
        <v>3</v>
      </c>
      <c r="B1" t="s">
        <v>8</v>
      </c>
      <c r="C1" t="s">
        <v>22</v>
      </c>
    </row>
    <row r="2" spans="1:3" x14ac:dyDescent="0.25">
      <c r="A2" t="s">
        <v>236</v>
      </c>
      <c r="B2" t="s">
        <v>233</v>
      </c>
      <c r="C2">
        <v>1.0657570310261759</v>
      </c>
    </row>
    <row r="3" spans="1:3" x14ac:dyDescent="0.25">
      <c r="A3" t="s">
        <v>237</v>
      </c>
      <c r="B3" t="s">
        <v>233</v>
      </c>
      <c r="C3">
        <v>1.1744581163217627</v>
      </c>
    </row>
    <row r="4" spans="1:3" x14ac:dyDescent="0.25">
      <c r="A4" t="s">
        <v>238</v>
      </c>
      <c r="B4" t="s">
        <v>233</v>
      </c>
      <c r="C4">
        <v>1.0397460331625012</v>
      </c>
    </row>
    <row r="5" spans="1:3" x14ac:dyDescent="0.25">
      <c r="A5" t="s">
        <v>239</v>
      </c>
      <c r="B5" t="s">
        <v>233</v>
      </c>
      <c r="C5">
        <v>0.9336674101464365</v>
      </c>
    </row>
    <row r="6" spans="1:3" x14ac:dyDescent="0.25">
      <c r="A6" t="s">
        <v>240</v>
      </c>
      <c r="B6" t="s">
        <v>233</v>
      </c>
      <c r="C6">
        <v>1.0016106997158456</v>
      </c>
    </row>
    <row r="7" spans="1:3" x14ac:dyDescent="0.25">
      <c r="A7" t="s">
        <v>241</v>
      </c>
      <c r="B7" t="s">
        <v>233</v>
      </c>
      <c r="C7">
        <v>0.8216480572468271</v>
      </c>
    </row>
    <row r="8" spans="1:3" x14ac:dyDescent="0.25">
      <c r="A8" t="s">
        <v>242</v>
      </c>
      <c r="B8" t="s">
        <v>234</v>
      </c>
      <c r="C8">
        <v>0.89926583244139169</v>
      </c>
    </row>
    <row r="9" spans="1:3" x14ac:dyDescent="0.25">
      <c r="A9" t="s">
        <v>243</v>
      </c>
      <c r="B9" t="s">
        <v>234</v>
      </c>
      <c r="C9">
        <v>0.47468827657437546</v>
      </c>
    </row>
    <row r="10" spans="1:3" x14ac:dyDescent="0.25">
      <c r="A10" t="s">
        <v>244</v>
      </c>
      <c r="B10" t="s">
        <v>234</v>
      </c>
      <c r="C10">
        <v>0.53624962025393885</v>
      </c>
    </row>
    <row r="11" spans="1:3" x14ac:dyDescent="0.25">
      <c r="A11" t="s">
        <v>245</v>
      </c>
      <c r="B11" t="s">
        <v>234</v>
      </c>
      <c r="C11">
        <v>0.45943303745602654</v>
      </c>
    </row>
    <row r="12" spans="1:3" x14ac:dyDescent="0.25">
      <c r="A12" t="s">
        <v>246</v>
      </c>
      <c r="B12" t="s">
        <v>234</v>
      </c>
      <c r="C12">
        <v>0.37246330380589965</v>
      </c>
    </row>
    <row r="13" spans="1:3" x14ac:dyDescent="0.25">
      <c r="A13" t="s">
        <v>247</v>
      </c>
      <c r="B13" t="s">
        <v>234</v>
      </c>
      <c r="C13">
        <v>0.79376453771323086</v>
      </c>
    </row>
    <row r="14" spans="1:3" x14ac:dyDescent="0.25">
      <c r="A14" t="s">
        <v>248</v>
      </c>
      <c r="B14" t="s">
        <v>6</v>
      </c>
      <c r="C14">
        <v>1.5813988716170076E-2</v>
      </c>
    </row>
    <row r="15" spans="1:3" x14ac:dyDescent="0.25">
      <c r="A15" t="s">
        <v>249</v>
      </c>
      <c r="B15" t="s">
        <v>6</v>
      </c>
      <c r="C15">
        <v>1.704832883785652E-3</v>
      </c>
    </row>
    <row r="16" spans="1:3" x14ac:dyDescent="0.25">
      <c r="A16" t="s">
        <v>250</v>
      </c>
      <c r="B16" t="s">
        <v>6</v>
      </c>
      <c r="C16">
        <v>7.7123836897609894E-3</v>
      </c>
    </row>
    <row r="17" spans="1:3" x14ac:dyDescent="0.25">
      <c r="A17" t="s">
        <v>251</v>
      </c>
      <c r="B17" t="s">
        <v>6</v>
      </c>
      <c r="C17">
        <v>1.3628839544380936E-2</v>
      </c>
    </row>
    <row r="18" spans="1:3" x14ac:dyDescent="0.25">
      <c r="A18" t="s">
        <v>252</v>
      </c>
      <c r="B18" t="s">
        <v>6</v>
      </c>
      <c r="C18">
        <v>1.2395309109591817E-2</v>
      </c>
    </row>
    <row r="19" spans="1:3" x14ac:dyDescent="0.25">
      <c r="A19" t="s">
        <v>0</v>
      </c>
      <c r="B19" t="s">
        <v>235</v>
      </c>
    </row>
    <row r="20" spans="1:3" x14ac:dyDescent="0.25">
      <c r="A20" t="s">
        <v>0</v>
      </c>
      <c r="B20" t="s">
        <v>253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BCCE-96E6-4B38-9C1E-C36CB19C94B4}">
  <dimension ref="A1:F12"/>
  <sheetViews>
    <sheetView workbookViewId="0">
      <selection activeCell="J6" sqref="J6"/>
    </sheetView>
  </sheetViews>
  <sheetFormatPr defaultRowHeight="15" x14ac:dyDescent="0.25"/>
  <cols>
    <col min="1" max="1" width="17.7109375" customWidth="1"/>
  </cols>
  <sheetData>
    <row r="1" spans="1:6" x14ac:dyDescent="0.25">
      <c r="A1" t="s">
        <v>3</v>
      </c>
      <c r="B1" t="s">
        <v>8</v>
      </c>
      <c r="C1" t="s">
        <v>20</v>
      </c>
      <c r="D1" t="s">
        <v>21</v>
      </c>
      <c r="E1" t="s">
        <v>23</v>
      </c>
      <c r="F1" t="s">
        <v>22</v>
      </c>
    </row>
    <row r="2" spans="1:6" x14ac:dyDescent="0.25">
      <c r="A2" t="s">
        <v>212</v>
      </c>
      <c r="B2" t="s">
        <v>228</v>
      </c>
      <c r="F2">
        <v>0.33415725293389709</v>
      </c>
    </row>
    <row r="3" spans="1:6" x14ac:dyDescent="0.25">
      <c r="A3" t="s">
        <v>213</v>
      </c>
      <c r="B3" t="s">
        <v>228</v>
      </c>
      <c r="F3">
        <v>0.46182079967310358</v>
      </c>
    </row>
    <row r="4" spans="1:6" x14ac:dyDescent="0.25">
      <c r="A4" t="s">
        <v>214</v>
      </c>
      <c r="B4" t="s">
        <v>228</v>
      </c>
      <c r="F4">
        <v>0.68827047526520069</v>
      </c>
    </row>
    <row r="5" spans="1:6" x14ac:dyDescent="0.25">
      <c r="A5" t="s">
        <v>216</v>
      </c>
      <c r="B5" t="s">
        <v>230</v>
      </c>
      <c r="F5">
        <v>0.62884129169082137</v>
      </c>
    </row>
    <row r="6" spans="1:6" x14ac:dyDescent="0.25">
      <c r="A6" t="s">
        <v>219</v>
      </c>
      <c r="B6" t="s">
        <v>230</v>
      </c>
      <c r="F6">
        <v>0.93882054135778359</v>
      </c>
    </row>
    <row r="7" spans="1:6" x14ac:dyDescent="0.25">
      <c r="A7" t="s">
        <v>220</v>
      </c>
      <c r="B7" t="s">
        <v>230</v>
      </c>
      <c r="F7">
        <v>1.432338166951395</v>
      </c>
    </row>
    <row r="8" spans="1:6" x14ac:dyDescent="0.25">
      <c r="A8" t="s">
        <v>221</v>
      </c>
      <c r="B8" t="s">
        <v>6</v>
      </c>
      <c r="F8">
        <v>0.21052666774577514</v>
      </c>
    </row>
    <row r="9" spans="1:6" x14ac:dyDescent="0.25">
      <c r="A9" t="s">
        <v>222</v>
      </c>
      <c r="B9" t="s">
        <v>6</v>
      </c>
      <c r="F9">
        <v>0.24041132837978507</v>
      </c>
    </row>
    <row r="10" spans="1:6" x14ac:dyDescent="0.25">
      <c r="A10" t="s">
        <v>223</v>
      </c>
      <c r="B10" t="s">
        <v>6</v>
      </c>
      <c r="F10">
        <v>0.15288486893539982</v>
      </c>
    </row>
    <row r="11" spans="1:6" x14ac:dyDescent="0.25">
      <c r="A11" t="s">
        <v>0</v>
      </c>
      <c r="B11" t="s">
        <v>254</v>
      </c>
    </row>
    <row r="12" spans="1:6" x14ac:dyDescent="0.25">
      <c r="A12" t="s">
        <v>0</v>
      </c>
      <c r="B12" t="s">
        <v>255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ECBF-1E28-41DF-BA47-D32A32FB15AF}">
  <dimension ref="A1:F12"/>
  <sheetViews>
    <sheetView tabSelected="1" workbookViewId="0">
      <selection activeCell="F2" sqref="F2:F10"/>
    </sheetView>
  </sheetViews>
  <sheetFormatPr defaultRowHeight="15" x14ac:dyDescent="0.25"/>
  <cols>
    <col min="1" max="1" width="17.7109375" customWidth="1"/>
  </cols>
  <sheetData>
    <row r="1" spans="1:6" x14ac:dyDescent="0.25">
      <c r="A1" t="s">
        <v>3</v>
      </c>
      <c r="B1" t="s">
        <v>8</v>
      </c>
      <c r="C1" t="s">
        <v>20</v>
      </c>
      <c r="D1" t="s">
        <v>21</v>
      </c>
      <c r="E1" t="s">
        <v>23</v>
      </c>
      <c r="F1" t="s">
        <v>22</v>
      </c>
    </row>
    <row r="2" spans="1:6" x14ac:dyDescent="0.25">
      <c r="A2" t="s">
        <v>259</v>
      </c>
      <c r="B2" t="s">
        <v>258</v>
      </c>
      <c r="F2">
        <v>0.89499270172725742</v>
      </c>
    </row>
    <row r="3" spans="1:6" x14ac:dyDescent="0.25">
      <c r="A3" t="s">
        <v>260</v>
      </c>
      <c r="B3" t="s">
        <v>258</v>
      </c>
      <c r="F3">
        <v>0.95481768727722738</v>
      </c>
    </row>
    <row r="4" spans="1:6" x14ac:dyDescent="0.25">
      <c r="A4" t="s">
        <v>261</v>
      </c>
      <c r="B4" t="s">
        <v>258</v>
      </c>
      <c r="F4">
        <v>1.150189610995515</v>
      </c>
    </row>
    <row r="5" spans="1:6" x14ac:dyDescent="0.25">
      <c r="A5" t="s">
        <v>262</v>
      </c>
      <c r="B5" t="s">
        <v>269</v>
      </c>
      <c r="F5">
        <v>0.95824178508137425</v>
      </c>
    </row>
    <row r="6" spans="1:6" x14ac:dyDescent="0.25">
      <c r="A6" t="s">
        <v>263</v>
      </c>
      <c r="B6" t="s">
        <v>269</v>
      </c>
      <c r="F6">
        <v>1.0363696852110196</v>
      </c>
    </row>
    <row r="7" spans="1:6" x14ac:dyDescent="0.25">
      <c r="A7" t="s">
        <v>264</v>
      </c>
      <c r="B7" t="s">
        <v>269</v>
      </c>
      <c r="F7">
        <v>0.87663282723547331</v>
      </c>
    </row>
    <row r="8" spans="1:6" x14ac:dyDescent="0.25">
      <c r="A8" t="s">
        <v>265</v>
      </c>
      <c r="B8" t="s">
        <v>270</v>
      </c>
      <c r="F8">
        <v>0.75387426460138818</v>
      </c>
    </row>
    <row r="9" spans="1:6" x14ac:dyDescent="0.25">
      <c r="A9" t="s">
        <v>266</v>
      </c>
      <c r="B9" t="s">
        <v>270</v>
      </c>
      <c r="F9">
        <v>0.75175601535472214</v>
      </c>
    </row>
    <row r="10" spans="1:6" x14ac:dyDescent="0.25">
      <c r="A10" t="s">
        <v>267</v>
      </c>
      <c r="B10" t="s">
        <v>270</v>
      </c>
      <c r="F10">
        <v>1.027209160571344</v>
      </c>
    </row>
    <row r="11" spans="1:6" x14ac:dyDescent="0.25">
      <c r="A11" t="s">
        <v>0</v>
      </c>
      <c r="B11" t="s">
        <v>257</v>
      </c>
    </row>
    <row r="12" spans="1:6" x14ac:dyDescent="0.25">
      <c r="A12" t="s">
        <v>0</v>
      </c>
      <c r="B12" t="s">
        <v>268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DBDD-BD2E-4CD3-A5DD-0D82FF63C434}">
  <dimension ref="A1:F12"/>
  <sheetViews>
    <sheetView workbookViewId="0">
      <selection activeCell="J6" sqref="J6"/>
    </sheetView>
  </sheetViews>
  <sheetFormatPr defaultRowHeight="15" x14ac:dyDescent="0.25"/>
  <cols>
    <col min="1" max="1" width="17.7109375" customWidth="1"/>
  </cols>
  <sheetData>
    <row r="1" spans="1:6" x14ac:dyDescent="0.25">
      <c r="A1" t="s">
        <v>3</v>
      </c>
      <c r="B1" t="s">
        <v>8</v>
      </c>
      <c r="C1" t="s">
        <v>20</v>
      </c>
      <c r="D1" t="s">
        <v>21</v>
      </c>
      <c r="E1" t="s">
        <v>23</v>
      </c>
      <c r="F1" t="s">
        <v>22</v>
      </c>
    </row>
    <row r="2" spans="1:6" x14ac:dyDescent="0.25">
      <c r="A2" t="s">
        <v>212</v>
      </c>
      <c r="B2" t="s">
        <v>228</v>
      </c>
      <c r="F2">
        <v>0.93800092749314146</v>
      </c>
    </row>
    <row r="3" spans="1:6" x14ac:dyDescent="0.25">
      <c r="A3" t="s">
        <v>213</v>
      </c>
      <c r="B3" t="s">
        <v>228</v>
      </c>
      <c r="F3">
        <v>0.98704696734044894</v>
      </c>
    </row>
    <row r="4" spans="1:6" x14ac:dyDescent="0.25">
      <c r="A4" t="s">
        <v>214</v>
      </c>
      <c r="B4" t="s">
        <v>228</v>
      </c>
      <c r="F4">
        <v>1.3448430924134775</v>
      </c>
    </row>
    <row r="5" spans="1:6" x14ac:dyDescent="0.25">
      <c r="A5" t="s">
        <v>216</v>
      </c>
      <c r="B5" t="s">
        <v>230</v>
      </c>
      <c r="F5">
        <v>1.1117498948263984</v>
      </c>
    </row>
    <row r="6" spans="1:6" x14ac:dyDescent="0.25">
      <c r="A6" t="s">
        <v>219</v>
      </c>
      <c r="B6" t="s">
        <v>230</v>
      </c>
      <c r="F6">
        <v>0.99548963783453293</v>
      </c>
    </row>
    <row r="7" spans="1:6" x14ac:dyDescent="0.25">
      <c r="A7" t="s">
        <v>220</v>
      </c>
      <c r="B7" t="s">
        <v>230</v>
      </c>
      <c r="F7">
        <v>0.89276046733906866</v>
      </c>
    </row>
    <row r="8" spans="1:6" x14ac:dyDescent="0.25">
      <c r="A8" t="s">
        <v>221</v>
      </c>
      <c r="B8" t="s">
        <v>6</v>
      </c>
      <c r="F8">
        <v>0.72710514669311088</v>
      </c>
    </row>
    <row r="9" spans="1:6" x14ac:dyDescent="0.25">
      <c r="A9" t="s">
        <v>222</v>
      </c>
      <c r="B9" t="s">
        <v>6</v>
      </c>
      <c r="F9">
        <v>0.7378385140706134</v>
      </c>
    </row>
    <row r="10" spans="1:6" x14ac:dyDescent="0.25">
      <c r="A10" t="s">
        <v>223</v>
      </c>
      <c r="B10" t="s">
        <v>6</v>
      </c>
      <c r="F10">
        <v>0.82963339164843242</v>
      </c>
    </row>
    <row r="11" spans="1:6" x14ac:dyDescent="0.25">
      <c r="A11" t="s">
        <v>0</v>
      </c>
      <c r="B11" t="s">
        <v>257</v>
      </c>
    </row>
    <row r="12" spans="1:6" x14ac:dyDescent="0.25">
      <c r="A12" t="s">
        <v>0</v>
      </c>
      <c r="B12" t="s">
        <v>256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2FE7-6F77-4065-BD28-1792EB842130}">
  <dimension ref="A1:F471"/>
  <sheetViews>
    <sheetView workbookViewId="0">
      <selection activeCell="G2" sqref="G2"/>
    </sheetView>
  </sheetViews>
  <sheetFormatPr defaultRowHeight="15" x14ac:dyDescent="0.25"/>
  <cols>
    <col min="1" max="1" width="26.140625" customWidth="1"/>
    <col min="2" max="2" width="24" customWidth="1"/>
  </cols>
  <sheetData>
    <row r="1" spans="1:6" x14ac:dyDescent="0.25">
      <c r="A1" t="s">
        <v>3</v>
      </c>
      <c r="B1" t="s">
        <v>8</v>
      </c>
      <c r="C1" t="s">
        <v>20</v>
      </c>
      <c r="D1" t="s">
        <v>21</v>
      </c>
      <c r="E1" t="s">
        <v>23</v>
      </c>
      <c r="F1" t="s">
        <v>22</v>
      </c>
    </row>
    <row r="2" spans="1:6" x14ac:dyDescent="0.25">
      <c r="A2" t="str">
        <f>B2&amp;"_1"</f>
        <v>NHK_DMEM_stv_1</v>
      </c>
      <c r="B2" t="s">
        <v>69</v>
      </c>
      <c r="C2">
        <v>1095170</v>
      </c>
      <c r="D2">
        <v>2</v>
      </c>
      <c r="E2">
        <v>1095170</v>
      </c>
      <c r="F2">
        <f>C2/E2</f>
        <v>1</v>
      </c>
    </row>
    <row r="3" spans="1:6" x14ac:dyDescent="0.25">
      <c r="A3" t="str">
        <f>B3&amp;"_2"</f>
        <v>NHK_DMEM_stv_2</v>
      </c>
      <c r="B3" t="s">
        <v>69</v>
      </c>
      <c r="C3">
        <v>1100261</v>
      </c>
      <c r="D3">
        <v>2</v>
      </c>
      <c r="E3">
        <v>1100261</v>
      </c>
      <c r="F3">
        <f t="shared" ref="F3:F66" si="0">C3/E3</f>
        <v>1</v>
      </c>
    </row>
    <row r="4" spans="1:6" x14ac:dyDescent="0.25">
      <c r="A4" t="str">
        <f>B4&amp;"_3"</f>
        <v>NHK_DMEM_stv_3</v>
      </c>
      <c r="B4" t="s">
        <v>69</v>
      </c>
      <c r="C4">
        <v>1105900</v>
      </c>
      <c r="D4">
        <v>2</v>
      </c>
      <c r="E4">
        <v>1105900</v>
      </c>
      <c r="F4">
        <f t="shared" si="0"/>
        <v>1</v>
      </c>
    </row>
    <row r="5" spans="1:6" x14ac:dyDescent="0.25">
      <c r="A5" t="str">
        <f>B5&amp;"_4"</f>
        <v>NHK_DMEM_stv_4</v>
      </c>
      <c r="B5" t="s">
        <v>69</v>
      </c>
      <c r="C5">
        <v>1098503</v>
      </c>
      <c r="D5">
        <v>2</v>
      </c>
      <c r="E5">
        <v>1098503</v>
      </c>
      <c r="F5">
        <f t="shared" si="0"/>
        <v>1</v>
      </c>
    </row>
    <row r="6" spans="1:6" x14ac:dyDescent="0.25">
      <c r="A6" t="str">
        <f t="shared" ref="A6" si="1">B6&amp;"_1"</f>
        <v>NHK_DMEM_stv_1</v>
      </c>
      <c r="B6" t="s">
        <v>69</v>
      </c>
      <c r="C6">
        <v>1062199</v>
      </c>
      <c r="D6">
        <v>10</v>
      </c>
      <c r="E6">
        <v>1095170</v>
      </c>
      <c r="F6">
        <f t="shared" si="0"/>
        <v>0.96989417168110892</v>
      </c>
    </row>
    <row r="7" spans="1:6" x14ac:dyDescent="0.25">
      <c r="A7" t="str">
        <f t="shared" ref="A7" si="2">B7&amp;"_2"</f>
        <v>NHK_DMEM_stv_2</v>
      </c>
      <c r="B7" t="s">
        <v>69</v>
      </c>
      <c r="C7">
        <v>1066514</v>
      </c>
      <c r="D7">
        <v>10</v>
      </c>
      <c r="E7">
        <v>1100261</v>
      </c>
      <c r="F7">
        <f t="shared" si="0"/>
        <v>0.96932818667570697</v>
      </c>
    </row>
    <row r="8" spans="1:6" x14ac:dyDescent="0.25">
      <c r="A8" t="str">
        <f t="shared" ref="A8" si="3">B8&amp;"_3"</f>
        <v>NHK_DMEM_stv_3</v>
      </c>
      <c r="B8" t="s">
        <v>69</v>
      </c>
      <c r="C8">
        <v>1068187</v>
      </c>
      <c r="D8">
        <v>10</v>
      </c>
      <c r="E8">
        <v>1105900</v>
      </c>
      <c r="F8">
        <f t="shared" si="0"/>
        <v>0.96589836332398948</v>
      </c>
    </row>
    <row r="9" spans="1:6" x14ac:dyDescent="0.25">
      <c r="A9" t="str">
        <f t="shared" ref="A9" si="4">B9&amp;"_4"</f>
        <v>NHK_DMEM_stv_4</v>
      </c>
      <c r="B9" t="s">
        <v>69</v>
      </c>
      <c r="C9">
        <v>1057447</v>
      </c>
      <c r="D9">
        <v>10</v>
      </c>
      <c r="E9">
        <v>1098503</v>
      </c>
      <c r="F9">
        <f t="shared" si="0"/>
        <v>0.96262550034000816</v>
      </c>
    </row>
    <row r="10" spans="1:6" x14ac:dyDescent="0.25">
      <c r="A10" t="str">
        <f t="shared" ref="A10" si="5">B10&amp;"_1"</f>
        <v>NHK_DMEM_stv_1</v>
      </c>
      <c r="B10" t="s">
        <v>69</v>
      </c>
      <c r="C10">
        <v>1049770</v>
      </c>
      <c r="D10">
        <v>20</v>
      </c>
      <c r="E10">
        <v>1095170</v>
      </c>
      <c r="F10">
        <f t="shared" si="0"/>
        <v>0.95854524868285285</v>
      </c>
    </row>
    <row r="11" spans="1:6" x14ac:dyDescent="0.25">
      <c r="A11" t="str">
        <f t="shared" ref="A11" si="6">B11&amp;"_2"</f>
        <v>NHK_DMEM_stv_2</v>
      </c>
      <c r="B11" t="s">
        <v>69</v>
      </c>
      <c r="C11">
        <v>1058085</v>
      </c>
      <c r="D11">
        <v>20</v>
      </c>
      <c r="E11">
        <v>1100261</v>
      </c>
      <c r="F11">
        <f t="shared" si="0"/>
        <v>0.96166727712788147</v>
      </c>
    </row>
    <row r="12" spans="1:6" x14ac:dyDescent="0.25">
      <c r="A12" t="str">
        <f t="shared" ref="A12" si="7">B12&amp;"_3"</f>
        <v>NHK_DMEM_stv_3</v>
      </c>
      <c r="B12" t="s">
        <v>69</v>
      </c>
      <c r="C12">
        <v>1054397</v>
      </c>
      <c r="D12">
        <v>20</v>
      </c>
      <c r="E12">
        <v>1105900</v>
      </c>
      <c r="F12">
        <f t="shared" si="0"/>
        <v>0.95342888145401938</v>
      </c>
    </row>
    <row r="13" spans="1:6" x14ac:dyDescent="0.25">
      <c r="A13" t="str">
        <f t="shared" ref="A13" si="8">B13&amp;"_4"</f>
        <v>NHK_DMEM_stv_4</v>
      </c>
      <c r="B13" t="s">
        <v>69</v>
      </c>
      <c r="C13">
        <v>1052874</v>
      </c>
      <c r="D13">
        <v>20</v>
      </c>
      <c r="E13">
        <v>1098503</v>
      </c>
      <c r="F13">
        <f t="shared" si="0"/>
        <v>0.95846256223241999</v>
      </c>
    </row>
    <row r="14" spans="1:6" x14ac:dyDescent="0.25">
      <c r="A14" t="str">
        <f t="shared" ref="A14" si="9">B14&amp;"_1"</f>
        <v>NHK_DMEM_stv_1</v>
      </c>
      <c r="B14" t="s">
        <v>69</v>
      </c>
      <c r="C14">
        <v>1054850</v>
      </c>
      <c r="D14">
        <v>30</v>
      </c>
      <c r="E14">
        <v>1095170</v>
      </c>
      <c r="F14">
        <f t="shared" si="0"/>
        <v>0.96318379794917686</v>
      </c>
    </row>
    <row r="15" spans="1:6" x14ac:dyDescent="0.25">
      <c r="A15" t="str">
        <f t="shared" ref="A15" si="10">B15&amp;"_2"</f>
        <v>NHK_DMEM_stv_2</v>
      </c>
      <c r="B15" t="s">
        <v>69</v>
      </c>
      <c r="C15">
        <v>1052874</v>
      </c>
      <c r="D15">
        <v>30</v>
      </c>
      <c r="E15">
        <v>1100261</v>
      </c>
      <c r="F15">
        <f t="shared" si="0"/>
        <v>0.95693112815959125</v>
      </c>
    </row>
    <row r="16" spans="1:6" x14ac:dyDescent="0.25">
      <c r="A16" t="str">
        <f t="shared" ref="A16" si="11">B16&amp;"_3"</f>
        <v>NHK_DMEM_stv_3</v>
      </c>
      <c r="B16" t="s">
        <v>69</v>
      </c>
      <c r="C16">
        <v>1054757</v>
      </c>
      <c r="D16">
        <v>30</v>
      </c>
      <c r="E16">
        <v>1105900</v>
      </c>
      <c r="F16">
        <f t="shared" si="0"/>
        <v>0.95375440817433765</v>
      </c>
    </row>
    <row r="17" spans="1:6" x14ac:dyDescent="0.25">
      <c r="A17" t="str">
        <f t="shared" ref="A17" si="12">B17&amp;"_4"</f>
        <v>NHK_DMEM_stv_4</v>
      </c>
      <c r="B17" t="s">
        <v>69</v>
      </c>
      <c r="C17">
        <v>1049929</v>
      </c>
      <c r="D17">
        <v>30</v>
      </c>
      <c r="E17">
        <v>1098503</v>
      </c>
      <c r="F17">
        <f t="shared" si="0"/>
        <v>0.95578164101509056</v>
      </c>
    </row>
    <row r="18" spans="1:6" x14ac:dyDescent="0.25">
      <c r="A18" t="str">
        <f t="shared" ref="A18" si="13">B18&amp;"_1"</f>
        <v>NHK_DMEM_stv_1</v>
      </c>
      <c r="B18" t="s">
        <v>69</v>
      </c>
      <c r="C18">
        <v>1039869</v>
      </c>
      <c r="D18">
        <v>60</v>
      </c>
      <c r="E18">
        <v>1095170</v>
      </c>
      <c r="F18">
        <f t="shared" si="0"/>
        <v>0.94950464311476757</v>
      </c>
    </row>
    <row r="19" spans="1:6" x14ac:dyDescent="0.25">
      <c r="A19" t="str">
        <f t="shared" ref="A19" si="14">B19&amp;"_2"</f>
        <v>NHK_DMEM_stv_2</v>
      </c>
      <c r="B19" t="s">
        <v>69</v>
      </c>
      <c r="C19">
        <v>1045466</v>
      </c>
      <c r="D19">
        <v>60</v>
      </c>
      <c r="E19">
        <v>1100261</v>
      </c>
      <c r="F19">
        <f t="shared" si="0"/>
        <v>0.95019818024995883</v>
      </c>
    </row>
    <row r="20" spans="1:6" x14ac:dyDescent="0.25">
      <c r="A20" t="str">
        <f t="shared" ref="A20" si="15">B20&amp;"_3"</f>
        <v>NHK_DMEM_stv_3</v>
      </c>
      <c r="B20" t="s">
        <v>69</v>
      </c>
      <c r="C20">
        <v>1045787</v>
      </c>
      <c r="D20">
        <v>60</v>
      </c>
      <c r="E20">
        <v>1105900</v>
      </c>
      <c r="F20">
        <f t="shared" si="0"/>
        <v>0.94564336739307353</v>
      </c>
    </row>
    <row r="21" spans="1:6" x14ac:dyDescent="0.25">
      <c r="A21" t="str">
        <f t="shared" ref="A21" si="16">B21&amp;"_4"</f>
        <v>NHK_DMEM_stv_4</v>
      </c>
      <c r="B21" t="s">
        <v>69</v>
      </c>
      <c r="C21">
        <v>1040892</v>
      </c>
      <c r="D21">
        <v>60</v>
      </c>
      <c r="E21">
        <v>1098503</v>
      </c>
      <c r="F21">
        <f t="shared" si="0"/>
        <v>0.94755499074649774</v>
      </c>
    </row>
    <row r="22" spans="1:6" x14ac:dyDescent="0.25">
      <c r="A22" t="str">
        <f t="shared" ref="A22" si="17">B22&amp;"_1"</f>
        <v>NHK_DMEM_stv_1</v>
      </c>
      <c r="B22" t="s">
        <v>69</v>
      </c>
      <c r="C22">
        <v>1032820</v>
      </c>
      <c r="D22">
        <v>90</v>
      </c>
      <c r="E22">
        <v>1095170</v>
      </c>
      <c r="F22">
        <f t="shared" si="0"/>
        <v>0.94306819945761844</v>
      </c>
    </row>
    <row r="23" spans="1:6" x14ac:dyDescent="0.25">
      <c r="A23" t="str">
        <f t="shared" ref="A23" si="18">B23&amp;"_2"</f>
        <v>NHK_DMEM_stv_2</v>
      </c>
      <c r="B23" t="s">
        <v>69</v>
      </c>
      <c r="C23">
        <v>1032593</v>
      </c>
      <c r="D23">
        <v>90</v>
      </c>
      <c r="E23">
        <v>1100261</v>
      </c>
      <c r="F23">
        <f t="shared" si="0"/>
        <v>0.93849822905656022</v>
      </c>
    </row>
    <row r="24" spans="1:6" x14ac:dyDescent="0.25">
      <c r="A24" t="str">
        <f t="shared" ref="A24" si="19">B24&amp;"_3"</f>
        <v>NHK_DMEM_stv_3</v>
      </c>
      <c r="B24" t="s">
        <v>69</v>
      </c>
      <c r="C24">
        <v>1031269</v>
      </c>
      <c r="D24">
        <v>90</v>
      </c>
      <c r="E24">
        <v>1105900</v>
      </c>
      <c r="F24">
        <f t="shared" si="0"/>
        <v>0.93251559815534857</v>
      </c>
    </row>
    <row r="25" spans="1:6" x14ac:dyDescent="0.25">
      <c r="A25" t="str">
        <f t="shared" ref="A25" si="20">B25&amp;"_4"</f>
        <v>NHK_DMEM_stv_4</v>
      </c>
      <c r="B25" t="s">
        <v>69</v>
      </c>
      <c r="C25">
        <v>1034598</v>
      </c>
      <c r="D25">
        <v>90</v>
      </c>
      <c r="E25">
        <v>1098503</v>
      </c>
      <c r="F25">
        <f t="shared" si="0"/>
        <v>0.94182537507862973</v>
      </c>
    </row>
    <row r="26" spans="1:6" x14ac:dyDescent="0.25">
      <c r="A26" t="str">
        <f t="shared" ref="A26" si="21">B26&amp;"_1"</f>
        <v>NHK_DMEM_stv_1</v>
      </c>
      <c r="B26" t="s">
        <v>69</v>
      </c>
      <c r="C26">
        <v>1014729</v>
      </c>
      <c r="D26">
        <v>120</v>
      </c>
      <c r="E26">
        <v>1095170</v>
      </c>
      <c r="F26">
        <f t="shared" si="0"/>
        <v>0.92654930284795967</v>
      </c>
    </row>
    <row r="27" spans="1:6" x14ac:dyDescent="0.25">
      <c r="A27" t="str">
        <f t="shared" ref="A27" si="22">B27&amp;"_2"</f>
        <v>NHK_DMEM_stv_2</v>
      </c>
      <c r="B27" t="s">
        <v>69</v>
      </c>
      <c r="C27">
        <v>1027479</v>
      </c>
      <c r="D27">
        <v>120</v>
      </c>
      <c r="E27">
        <v>1100261</v>
      </c>
      <c r="F27">
        <f t="shared" si="0"/>
        <v>0.93385024098827463</v>
      </c>
    </row>
    <row r="28" spans="1:6" x14ac:dyDescent="0.25">
      <c r="A28" t="str">
        <f t="shared" ref="A28" si="23">B28&amp;"_3"</f>
        <v>NHK_DMEM_stv_3</v>
      </c>
      <c r="B28" t="s">
        <v>69</v>
      </c>
      <c r="C28">
        <v>1023875</v>
      </c>
      <c r="D28">
        <v>120</v>
      </c>
      <c r="E28">
        <v>1105900</v>
      </c>
      <c r="F28">
        <f t="shared" si="0"/>
        <v>0.92582964101636678</v>
      </c>
    </row>
    <row r="29" spans="1:6" x14ac:dyDescent="0.25">
      <c r="A29" t="str">
        <f t="shared" ref="A29" si="24">B29&amp;"_4"</f>
        <v>NHK_DMEM_stv_4</v>
      </c>
      <c r="B29" t="s">
        <v>69</v>
      </c>
      <c r="C29">
        <v>1021487</v>
      </c>
      <c r="D29">
        <v>120</v>
      </c>
      <c r="E29">
        <v>1098503</v>
      </c>
      <c r="F29">
        <f t="shared" si="0"/>
        <v>0.92989004126524921</v>
      </c>
    </row>
    <row r="30" spans="1:6" x14ac:dyDescent="0.25">
      <c r="A30" t="str">
        <f t="shared" ref="A30" si="25">B30&amp;"_1"</f>
        <v>NHK_DMEM_stv_1</v>
      </c>
      <c r="B30" t="s">
        <v>69</v>
      </c>
      <c r="C30">
        <v>1008435</v>
      </c>
      <c r="D30">
        <v>150</v>
      </c>
      <c r="E30">
        <v>1095170</v>
      </c>
      <c r="F30">
        <f t="shared" si="0"/>
        <v>0.92080224987901427</v>
      </c>
    </row>
    <row r="31" spans="1:6" x14ac:dyDescent="0.25">
      <c r="A31" t="str">
        <f t="shared" ref="A31" si="26">B31&amp;"_2"</f>
        <v>NHK_DMEM_stv_2</v>
      </c>
      <c r="B31" t="s">
        <v>69</v>
      </c>
      <c r="C31">
        <v>1018135</v>
      </c>
      <c r="D31">
        <v>150</v>
      </c>
      <c r="E31">
        <v>1100261</v>
      </c>
      <c r="F31">
        <f t="shared" si="0"/>
        <v>0.92535771057958072</v>
      </c>
    </row>
    <row r="32" spans="1:6" x14ac:dyDescent="0.25">
      <c r="A32" t="str">
        <f t="shared" ref="A32" si="27">B32&amp;"_3"</f>
        <v>NHK_DMEM_stv_3</v>
      </c>
      <c r="B32" t="s">
        <v>69</v>
      </c>
      <c r="C32">
        <v>1014714</v>
      </c>
      <c r="D32">
        <v>150</v>
      </c>
      <c r="E32">
        <v>1105900</v>
      </c>
      <c r="F32">
        <f t="shared" si="0"/>
        <v>0.91754589022515598</v>
      </c>
    </row>
    <row r="33" spans="1:6" x14ac:dyDescent="0.25">
      <c r="A33" t="str">
        <f t="shared" ref="A33" si="28">B33&amp;"_4"</f>
        <v>NHK_DMEM_stv_4</v>
      </c>
      <c r="B33" t="s">
        <v>69</v>
      </c>
      <c r="C33">
        <v>1011150</v>
      </c>
      <c r="D33">
        <v>150</v>
      </c>
      <c r="E33">
        <v>1098503</v>
      </c>
      <c r="F33">
        <f t="shared" si="0"/>
        <v>0.92047996227593365</v>
      </c>
    </row>
    <row r="34" spans="1:6" x14ac:dyDescent="0.25">
      <c r="A34" t="str">
        <f t="shared" ref="A34" si="29">B34&amp;"_1"</f>
        <v>NHK_DMEM_stv_1</v>
      </c>
      <c r="B34" t="s">
        <v>69</v>
      </c>
      <c r="C34">
        <v>992591</v>
      </c>
      <c r="D34">
        <v>180</v>
      </c>
      <c r="E34">
        <v>1095170</v>
      </c>
      <c r="F34">
        <f t="shared" si="0"/>
        <v>0.90633508952947939</v>
      </c>
    </row>
    <row r="35" spans="1:6" x14ac:dyDescent="0.25">
      <c r="A35" t="str">
        <f t="shared" ref="A35" si="30">B35&amp;"_2"</f>
        <v>NHK_DMEM_stv_2</v>
      </c>
      <c r="B35" t="s">
        <v>69</v>
      </c>
      <c r="C35">
        <v>1005026</v>
      </c>
      <c r="D35">
        <v>180</v>
      </c>
      <c r="E35">
        <v>1100261</v>
      </c>
      <c r="F35">
        <f t="shared" si="0"/>
        <v>0.91344326482534599</v>
      </c>
    </row>
    <row r="36" spans="1:6" x14ac:dyDescent="0.25">
      <c r="A36" t="str">
        <f t="shared" ref="A36" si="31">B36&amp;"_3"</f>
        <v>NHK_DMEM_stv_3</v>
      </c>
      <c r="B36" t="s">
        <v>69</v>
      </c>
      <c r="C36">
        <v>1005919</v>
      </c>
      <c r="D36">
        <v>180</v>
      </c>
      <c r="E36">
        <v>1105900</v>
      </c>
      <c r="F36">
        <f t="shared" si="0"/>
        <v>0.90959309159960211</v>
      </c>
    </row>
    <row r="37" spans="1:6" x14ac:dyDescent="0.25">
      <c r="A37" t="str">
        <f t="shared" ref="A37" si="32">B37&amp;"_4"</f>
        <v>NHK_DMEM_stv_4</v>
      </c>
      <c r="B37" t="s">
        <v>69</v>
      </c>
      <c r="C37">
        <v>1005926</v>
      </c>
      <c r="D37">
        <v>180</v>
      </c>
      <c r="E37">
        <v>1098503</v>
      </c>
      <c r="F37">
        <f t="shared" si="0"/>
        <v>0.91572439947819895</v>
      </c>
    </row>
    <row r="38" spans="1:6" x14ac:dyDescent="0.25">
      <c r="A38" t="str">
        <f t="shared" ref="A38" si="33">B38&amp;"_1"</f>
        <v>NHK_OMEM_stv_1</v>
      </c>
      <c r="B38" t="s">
        <v>70</v>
      </c>
      <c r="C38">
        <v>1102692</v>
      </c>
      <c r="D38">
        <v>2</v>
      </c>
      <c r="E38">
        <v>1102692</v>
      </c>
      <c r="F38">
        <f t="shared" si="0"/>
        <v>1</v>
      </c>
    </row>
    <row r="39" spans="1:6" x14ac:dyDescent="0.25">
      <c r="A39" t="str">
        <f t="shared" ref="A39" si="34">B39&amp;"_2"</f>
        <v>NHK_OMEM_stv_2</v>
      </c>
      <c r="B39" t="s">
        <v>70</v>
      </c>
      <c r="C39">
        <v>1100622</v>
      </c>
      <c r="D39">
        <v>2</v>
      </c>
      <c r="E39">
        <v>1100622</v>
      </c>
      <c r="F39">
        <f t="shared" si="0"/>
        <v>1</v>
      </c>
    </row>
    <row r="40" spans="1:6" x14ac:dyDescent="0.25">
      <c r="A40" t="str">
        <f t="shared" ref="A40" si="35">B40&amp;"_3"</f>
        <v>NHK_OMEM_stv_3</v>
      </c>
      <c r="B40" t="s">
        <v>70</v>
      </c>
      <c r="C40">
        <v>1104637</v>
      </c>
      <c r="D40">
        <v>2</v>
      </c>
      <c r="E40">
        <v>1104637</v>
      </c>
      <c r="F40">
        <f t="shared" si="0"/>
        <v>1</v>
      </c>
    </row>
    <row r="41" spans="1:6" x14ac:dyDescent="0.25">
      <c r="A41" t="str">
        <f t="shared" ref="A41" si="36">B41&amp;"_4"</f>
        <v>NHK_OMEM_stv_4</v>
      </c>
      <c r="B41" t="s">
        <v>70</v>
      </c>
      <c r="C41">
        <v>1102857</v>
      </c>
      <c r="D41">
        <v>2</v>
      </c>
      <c r="E41">
        <v>1102857</v>
      </c>
      <c r="F41">
        <f t="shared" si="0"/>
        <v>1</v>
      </c>
    </row>
    <row r="42" spans="1:6" x14ac:dyDescent="0.25">
      <c r="A42" t="str">
        <f t="shared" ref="A42" si="37">B42&amp;"_1"</f>
        <v>NHK_OMEM_stv_1</v>
      </c>
      <c r="B42" t="s">
        <v>70</v>
      </c>
      <c r="C42">
        <v>1059177</v>
      </c>
      <c r="D42">
        <v>10</v>
      </c>
      <c r="E42">
        <v>1102692</v>
      </c>
      <c r="F42">
        <f t="shared" si="0"/>
        <v>0.96053748462852728</v>
      </c>
    </row>
    <row r="43" spans="1:6" x14ac:dyDescent="0.25">
      <c r="A43" t="str">
        <f t="shared" ref="A43" si="38">B43&amp;"_2"</f>
        <v>NHK_OMEM_stv_2</v>
      </c>
      <c r="B43" t="s">
        <v>70</v>
      </c>
      <c r="C43">
        <v>1061490</v>
      </c>
      <c r="D43">
        <v>10</v>
      </c>
      <c r="E43">
        <v>1100622</v>
      </c>
      <c r="F43">
        <f t="shared" si="0"/>
        <v>0.96444555896574846</v>
      </c>
    </row>
    <row r="44" spans="1:6" x14ac:dyDescent="0.25">
      <c r="A44" t="str">
        <f t="shared" ref="A44" si="39">B44&amp;"_3"</f>
        <v>NHK_OMEM_stv_3</v>
      </c>
      <c r="B44" t="s">
        <v>70</v>
      </c>
      <c r="C44">
        <v>1069462</v>
      </c>
      <c r="D44">
        <v>10</v>
      </c>
      <c r="E44">
        <v>1104637</v>
      </c>
      <c r="F44">
        <f t="shared" si="0"/>
        <v>0.96815696015976294</v>
      </c>
    </row>
    <row r="45" spans="1:6" x14ac:dyDescent="0.25">
      <c r="A45" t="str">
        <f t="shared" ref="A45" si="40">B45&amp;"_4"</f>
        <v>NHK_OMEM_stv_4</v>
      </c>
      <c r="B45" t="s">
        <v>70</v>
      </c>
      <c r="C45">
        <v>1065192</v>
      </c>
      <c r="D45">
        <v>10</v>
      </c>
      <c r="E45">
        <v>1102857</v>
      </c>
      <c r="F45">
        <f t="shared" si="0"/>
        <v>0.96584779350360017</v>
      </c>
    </row>
    <row r="46" spans="1:6" x14ac:dyDescent="0.25">
      <c r="A46" t="str">
        <f t="shared" ref="A46" si="41">B46&amp;"_1"</f>
        <v>NHK_OMEM_stv_1</v>
      </c>
      <c r="B46" t="s">
        <v>70</v>
      </c>
      <c r="C46">
        <v>1049568</v>
      </c>
      <c r="D46">
        <v>20</v>
      </c>
      <c r="E46">
        <v>1102692</v>
      </c>
      <c r="F46">
        <f t="shared" si="0"/>
        <v>0.95182335593257228</v>
      </c>
    </row>
    <row r="47" spans="1:6" x14ac:dyDescent="0.25">
      <c r="A47" t="str">
        <f t="shared" ref="A47" si="42">B47&amp;"_2"</f>
        <v>NHK_OMEM_stv_2</v>
      </c>
      <c r="B47" t="s">
        <v>70</v>
      </c>
      <c r="C47">
        <v>1057545</v>
      </c>
      <c r="D47">
        <v>20</v>
      </c>
      <c r="E47">
        <v>1100622</v>
      </c>
      <c r="F47">
        <f t="shared" si="0"/>
        <v>0.96086122210895297</v>
      </c>
    </row>
    <row r="48" spans="1:6" x14ac:dyDescent="0.25">
      <c r="A48" t="str">
        <f t="shared" ref="A48" si="43">B48&amp;"_3"</f>
        <v>NHK_OMEM_stv_3</v>
      </c>
      <c r="B48" t="s">
        <v>70</v>
      </c>
      <c r="C48">
        <v>1060124</v>
      </c>
      <c r="D48">
        <v>20</v>
      </c>
      <c r="E48">
        <v>1104637</v>
      </c>
      <c r="F48">
        <f t="shared" si="0"/>
        <v>0.95970350440914076</v>
      </c>
    </row>
    <row r="49" spans="1:6" x14ac:dyDescent="0.25">
      <c r="A49" t="str">
        <f t="shared" ref="A49" si="44">B49&amp;"_4"</f>
        <v>NHK_OMEM_stv_4</v>
      </c>
      <c r="B49" t="s">
        <v>70</v>
      </c>
      <c r="C49">
        <v>1059057</v>
      </c>
      <c r="D49">
        <v>20</v>
      </c>
      <c r="E49">
        <v>1102857</v>
      </c>
      <c r="F49">
        <f t="shared" si="0"/>
        <v>0.9602849689488302</v>
      </c>
    </row>
    <row r="50" spans="1:6" x14ac:dyDescent="0.25">
      <c r="A50" t="str">
        <f t="shared" ref="A50" si="45">B50&amp;"_1"</f>
        <v>NHK_OMEM_stv_1</v>
      </c>
      <c r="B50" t="s">
        <v>70</v>
      </c>
      <c r="C50">
        <v>1051085</v>
      </c>
      <c r="D50">
        <v>30</v>
      </c>
      <c r="E50">
        <v>1102692</v>
      </c>
      <c r="F50">
        <f t="shared" si="0"/>
        <v>0.9531990800695026</v>
      </c>
    </row>
    <row r="51" spans="1:6" x14ac:dyDescent="0.25">
      <c r="A51" t="str">
        <f t="shared" ref="A51" si="46">B51&amp;"_2"</f>
        <v>NHK_OMEM_stv_2</v>
      </c>
      <c r="B51" t="s">
        <v>70</v>
      </c>
      <c r="C51">
        <v>1063261</v>
      </c>
      <c r="D51">
        <v>30</v>
      </c>
      <c r="E51">
        <v>1100622</v>
      </c>
      <c r="F51">
        <f t="shared" si="0"/>
        <v>0.96605464909841887</v>
      </c>
    </row>
    <row r="52" spans="1:6" x14ac:dyDescent="0.25">
      <c r="A52" t="str">
        <f t="shared" ref="A52" si="47">B52&amp;"_3"</f>
        <v>NHK_OMEM_stv_3</v>
      </c>
      <c r="B52" t="s">
        <v>70</v>
      </c>
      <c r="C52">
        <v>1058318</v>
      </c>
      <c r="D52">
        <v>30</v>
      </c>
      <c r="E52">
        <v>1104637</v>
      </c>
      <c r="F52">
        <f t="shared" si="0"/>
        <v>0.95806857818450764</v>
      </c>
    </row>
    <row r="53" spans="1:6" x14ac:dyDescent="0.25">
      <c r="A53" t="str">
        <f t="shared" ref="A53" si="48">B53&amp;"_4"</f>
        <v>NHK_OMEM_stv_4</v>
      </c>
      <c r="B53" t="s">
        <v>70</v>
      </c>
      <c r="C53">
        <v>1052353</v>
      </c>
      <c r="D53">
        <v>30</v>
      </c>
      <c r="E53">
        <v>1102857</v>
      </c>
      <c r="F53">
        <f t="shared" si="0"/>
        <v>0.9542062116847424</v>
      </c>
    </row>
    <row r="54" spans="1:6" x14ac:dyDescent="0.25">
      <c r="A54" t="str">
        <f t="shared" ref="A54" si="49">B54&amp;"_1"</f>
        <v>NHK_OMEM_stv_1</v>
      </c>
      <c r="B54" t="s">
        <v>70</v>
      </c>
      <c r="C54">
        <v>1038069</v>
      </c>
      <c r="D54">
        <v>60</v>
      </c>
      <c r="E54">
        <v>1102692</v>
      </c>
      <c r="F54">
        <f t="shared" si="0"/>
        <v>0.94139524001262365</v>
      </c>
    </row>
    <row r="55" spans="1:6" x14ac:dyDescent="0.25">
      <c r="A55" t="str">
        <f t="shared" ref="A55" si="50">B55&amp;"_2"</f>
        <v>NHK_OMEM_stv_2</v>
      </c>
      <c r="B55" t="s">
        <v>70</v>
      </c>
      <c r="C55">
        <v>1049883</v>
      </c>
      <c r="D55">
        <v>60</v>
      </c>
      <c r="E55">
        <v>1100622</v>
      </c>
      <c r="F55">
        <f t="shared" si="0"/>
        <v>0.95389970398556456</v>
      </c>
    </row>
    <row r="56" spans="1:6" x14ac:dyDescent="0.25">
      <c r="A56" t="str">
        <f t="shared" ref="A56" si="51">B56&amp;"_3"</f>
        <v>NHK_OMEM_stv_3</v>
      </c>
      <c r="B56" t="s">
        <v>70</v>
      </c>
      <c r="C56">
        <v>1055417</v>
      </c>
      <c r="D56">
        <v>60</v>
      </c>
      <c r="E56">
        <v>1104637</v>
      </c>
      <c r="F56">
        <f t="shared" si="0"/>
        <v>0.95544237609277982</v>
      </c>
    </row>
    <row r="57" spans="1:6" x14ac:dyDescent="0.25">
      <c r="A57" t="str">
        <f t="shared" ref="A57" si="52">B57&amp;"_4"</f>
        <v>NHK_OMEM_stv_4</v>
      </c>
      <c r="B57" t="s">
        <v>70</v>
      </c>
      <c r="C57">
        <v>1037706</v>
      </c>
      <c r="D57">
        <v>60</v>
      </c>
      <c r="E57">
        <v>1102857</v>
      </c>
      <c r="F57">
        <f t="shared" si="0"/>
        <v>0.94092525141518801</v>
      </c>
    </row>
    <row r="58" spans="1:6" x14ac:dyDescent="0.25">
      <c r="A58" t="str">
        <f t="shared" ref="A58" si="53">B58&amp;"_1"</f>
        <v>NHK_OMEM_stv_1</v>
      </c>
      <c r="B58" t="s">
        <v>70</v>
      </c>
      <c r="C58">
        <v>1036653</v>
      </c>
      <c r="D58">
        <v>90</v>
      </c>
      <c r="E58">
        <v>1102692</v>
      </c>
      <c r="F58">
        <f t="shared" si="0"/>
        <v>0.94011110990194902</v>
      </c>
    </row>
    <row r="59" spans="1:6" x14ac:dyDescent="0.25">
      <c r="A59" t="str">
        <f t="shared" ref="A59" si="54">B59&amp;"_2"</f>
        <v>NHK_OMEM_stv_2</v>
      </c>
      <c r="B59" t="s">
        <v>70</v>
      </c>
      <c r="C59">
        <v>1041981</v>
      </c>
      <c r="D59">
        <v>90</v>
      </c>
      <c r="E59">
        <v>1100622</v>
      </c>
      <c r="F59">
        <f t="shared" si="0"/>
        <v>0.94672012734617339</v>
      </c>
    </row>
    <row r="60" spans="1:6" x14ac:dyDescent="0.25">
      <c r="A60" t="str">
        <f t="shared" ref="A60" si="55">B60&amp;"_3"</f>
        <v>NHK_OMEM_stv_3</v>
      </c>
      <c r="B60" t="s">
        <v>70</v>
      </c>
      <c r="C60">
        <v>1037419</v>
      </c>
      <c r="D60">
        <v>90</v>
      </c>
      <c r="E60">
        <v>1104637</v>
      </c>
      <c r="F60">
        <f t="shared" si="0"/>
        <v>0.93914924088184626</v>
      </c>
    </row>
    <row r="61" spans="1:6" x14ac:dyDescent="0.25">
      <c r="A61" t="str">
        <f t="shared" ref="A61" si="56">B61&amp;"_4"</f>
        <v>NHK_OMEM_stv_4</v>
      </c>
      <c r="B61" t="s">
        <v>70</v>
      </c>
      <c r="C61">
        <v>1026493</v>
      </c>
      <c r="D61">
        <v>90</v>
      </c>
      <c r="E61">
        <v>1102857</v>
      </c>
      <c r="F61">
        <f t="shared" si="0"/>
        <v>0.93075802211891479</v>
      </c>
    </row>
    <row r="62" spans="1:6" x14ac:dyDescent="0.25">
      <c r="A62" t="str">
        <f t="shared" ref="A62" si="57">B62&amp;"_1"</f>
        <v>NHK_OMEM_stv_1</v>
      </c>
      <c r="B62" t="s">
        <v>70</v>
      </c>
      <c r="C62">
        <v>1022773</v>
      </c>
      <c r="D62">
        <v>120</v>
      </c>
      <c r="E62">
        <v>1102692</v>
      </c>
      <c r="F62">
        <f t="shared" si="0"/>
        <v>0.92752373282838729</v>
      </c>
    </row>
    <row r="63" spans="1:6" x14ac:dyDescent="0.25">
      <c r="A63" t="str">
        <f t="shared" ref="A63" si="58">B63&amp;"_2"</f>
        <v>NHK_OMEM_stv_2</v>
      </c>
      <c r="B63" t="s">
        <v>70</v>
      </c>
      <c r="C63">
        <v>1033717</v>
      </c>
      <c r="D63">
        <v>120</v>
      </c>
      <c r="E63">
        <v>1100622</v>
      </c>
      <c r="F63">
        <f t="shared" si="0"/>
        <v>0.93921164577847793</v>
      </c>
    </row>
    <row r="64" spans="1:6" x14ac:dyDescent="0.25">
      <c r="A64" t="str">
        <f t="shared" ref="A64" si="59">B64&amp;"_3"</f>
        <v>NHK_OMEM_stv_3</v>
      </c>
      <c r="B64" t="s">
        <v>70</v>
      </c>
      <c r="C64">
        <v>1025730</v>
      </c>
      <c r="D64">
        <v>120</v>
      </c>
      <c r="E64">
        <v>1104637</v>
      </c>
      <c r="F64">
        <f t="shared" si="0"/>
        <v>0.92856748415995483</v>
      </c>
    </row>
    <row r="65" spans="1:6" x14ac:dyDescent="0.25">
      <c r="A65" t="str">
        <f t="shared" ref="A65" si="60">B65&amp;"_4"</f>
        <v>NHK_OMEM_stv_4</v>
      </c>
      <c r="B65" t="s">
        <v>70</v>
      </c>
      <c r="C65">
        <v>1028226</v>
      </c>
      <c r="D65">
        <v>120</v>
      </c>
      <c r="E65">
        <v>1102857</v>
      </c>
      <c r="F65">
        <f t="shared" si="0"/>
        <v>0.93232939537945536</v>
      </c>
    </row>
    <row r="66" spans="1:6" x14ac:dyDescent="0.25">
      <c r="A66" t="str">
        <f t="shared" ref="A66" si="61">B66&amp;"_1"</f>
        <v>NHK_OMEM_stv_1</v>
      </c>
      <c r="B66" t="s">
        <v>70</v>
      </c>
      <c r="C66">
        <v>1018890</v>
      </c>
      <c r="D66">
        <v>150</v>
      </c>
      <c r="E66">
        <v>1102692</v>
      </c>
      <c r="F66">
        <f t="shared" si="0"/>
        <v>0.92400235061105007</v>
      </c>
    </row>
    <row r="67" spans="1:6" x14ac:dyDescent="0.25">
      <c r="A67" t="str">
        <f t="shared" ref="A67" si="62">B67&amp;"_2"</f>
        <v>NHK_OMEM_stv_2</v>
      </c>
      <c r="B67" t="s">
        <v>70</v>
      </c>
      <c r="C67">
        <v>1014654</v>
      </c>
      <c r="D67">
        <v>150</v>
      </c>
      <c r="E67">
        <v>1100622</v>
      </c>
      <c r="F67">
        <f t="shared" ref="F67:F130" si="63">C67/E67</f>
        <v>0.92189143956780806</v>
      </c>
    </row>
    <row r="68" spans="1:6" x14ac:dyDescent="0.25">
      <c r="A68" t="str">
        <f t="shared" ref="A68" si="64">B68&amp;"_3"</f>
        <v>NHK_OMEM_stv_3</v>
      </c>
      <c r="B68" t="s">
        <v>70</v>
      </c>
      <c r="C68">
        <v>1019223</v>
      </c>
      <c r="D68">
        <v>150</v>
      </c>
      <c r="E68">
        <v>1104637</v>
      </c>
      <c r="F68">
        <f t="shared" si="63"/>
        <v>0.92267686126754767</v>
      </c>
    </row>
    <row r="69" spans="1:6" x14ac:dyDescent="0.25">
      <c r="A69" t="str">
        <f t="shared" ref="A69" si="65">B69&amp;"_4"</f>
        <v>NHK_OMEM_stv_4</v>
      </c>
      <c r="B69" t="s">
        <v>70</v>
      </c>
      <c r="C69">
        <v>1021502</v>
      </c>
      <c r="D69">
        <v>150</v>
      </c>
      <c r="E69">
        <v>1102857</v>
      </c>
      <c r="F69">
        <f t="shared" si="63"/>
        <v>0.92623250339799268</v>
      </c>
    </row>
    <row r="70" spans="1:6" x14ac:dyDescent="0.25">
      <c r="A70" t="str">
        <f t="shared" ref="A70" si="66">B70&amp;"_1"</f>
        <v>NHK_OMEM_stv_1</v>
      </c>
      <c r="B70" t="s">
        <v>70</v>
      </c>
      <c r="C70">
        <v>1009737</v>
      </c>
      <c r="D70">
        <v>180</v>
      </c>
      <c r="E70">
        <v>1102692</v>
      </c>
      <c r="F70">
        <f t="shared" si="63"/>
        <v>0.91570175534056653</v>
      </c>
    </row>
    <row r="71" spans="1:6" x14ac:dyDescent="0.25">
      <c r="A71" t="str">
        <f t="shared" ref="A71" si="67">B71&amp;"_2"</f>
        <v>NHK_OMEM_stv_2</v>
      </c>
      <c r="B71" t="s">
        <v>70</v>
      </c>
      <c r="C71">
        <v>1011576</v>
      </c>
      <c r="D71">
        <v>180</v>
      </c>
      <c r="E71">
        <v>1100622</v>
      </c>
      <c r="F71">
        <f t="shared" si="63"/>
        <v>0.9190948391000725</v>
      </c>
    </row>
    <row r="72" spans="1:6" x14ac:dyDescent="0.25">
      <c r="A72" t="str">
        <f t="shared" ref="A72" si="68">B72&amp;"_3"</f>
        <v>NHK_OMEM_stv_3</v>
      </c>
      <c r="B72" t="s">
        <v>70</v>
      </c>
      <c r="C72">
        <v>1013444</v>
      </c>
      <c r="D72">
        <v>180</v>
      </c>
      <c r="E72">
        <v>1104637</v>
      </c>
      <c r="F72">
        <f t="shared" si="63"/>
        <v>0.91744527840367474</v>
      </c>
    </row>
    <row r="73" spans="1:6" x14ac:dyDescent="0.25">
      <c r="A73" t="str">
        <f t="shared" ref="A73" si="69">B73&amp;"_4"</f>
        <v>NHK_OMEM_stv_4</v>
      </c>
      <c r="B73" t="s">
        <v>70</v>
      </c>
      <c r="C73">
        <v>1021086</v>
      </c>
      <c r="D73">
        <v>180</v>
      </c>
      <c r="E73">
        <v>1102857</v>
      </c>
      <c r="F73">
        <f t="shared" si="63"/>
        <v>0.92585530127659343</v>
      </c>
    </row>
    <row r="74" spans="1:6" x14ac:dyDescent="0.25">
      <c r="A74" t="str">
        <f t="shared" ref="A74" si="70">B74&amp;"_1"</f>
        <v>NHK_Mb_DMEM_stv_1</v>
      </c>
      <c r="B74" t="s">
        <v>68</v>
      </c>
      <c r="C74">
        <v>2258768</v>
      </c>
      <c r="D74">
        <v>2</v>
      </c>
      <c r="E74">
        <v>2258768</v>
      </c>
      <c r="F74">
        <f t="shared" si="63"/>
        <v>1</v>
      </c>
    </row>
    <row r="75" spans="1:6" x14ac:dyDescent="0.25">
      <c r="A75" t="str">
        <f t="shared" ref="A75" si="71">B75&amp;"_2"</f>
        <v>NHK_Mb_DMEM_stv_2</v>
      </c>
      <c r="B75" t="s">
        <v>68</v>
      </c>
      <c r="C75">
        <v>2252451</v>
      </c>
      <c r="D75">
        <v>2</v>
      </c>
      <c r="E75">
        <v>2252451</v>
      </c>
      <c r="F75">
        <f t="shared" si="63"/>
        <v>1</v>
      </c>
    </row>
    <row r="76" spans="1:6" x14ac:dyDescent="0.25">
      <c r="A76" t="str">
        <f t="shared" ref="A76" si="72">B76&amp;"_3"</f>
        <v>NHK_Mb_DMEM_stv_3</v>
      </c>
      <c r="B76" t="s">
        <v>68</v>
      </c>
      <c r="C76">
        <v>2292837</v>
      </c>
      <c r="D76">
        <v>2</v>
      </c>
      <c r="E76">
        <v>2292837</v>
      </c>
      <c r="F76">
        <f t="shared" si="63"/>
        <v>1</v>
      </c>
    </row>
    <row r="77" spans="1:6" x14ac:dyDescent="0.25">
      <c r="A77" t="str">
        <f t="shared" ref="A77" si="73">B77&amp;"_4"</f>
        <v>NHK_Mb_DMEM_stv_4</v>
      </c>
      <c r="B77" t="s">
        <v>68</v>
      </c>
      <c r="C77">
        <v>2288966</v>
      </c>
      <c r="D77">
        <v>2</v>
      </c>
      <c r="E77">
        <v>2288966</v>
      </c>
      <c r="F77">
        <f t="shared" si="63"/>
        <v>1</v>
      </c>
    </row>
    <row r="78" spans="1:6" x14ac:dyDescent="0.25">
      <c r="A78" t="str">
        <f t="shared" ref="A78" si="74">B78&amp;"_1"</f>
        <v>NHK_Mb_DMEM_stv_1</v>
      </c>
      <c r="B78" t="s">
        <v>68</v>
      </c>
      <c r="C78">
        <v>2198925</v>
      </c>
      <c r="D78">
        <v>10</v>
      </c>
      <c r="E78">
        <v>2258768</v>
      </c>
      <c r="F78">
        <f t="shared" si="63"/>
        <v>0.97350635390620022</v>
      </c>
    </row>
    <row r="79" spans="1:6" x14ac:dyDescent="0.25">
      <c r="A79" t="str">
        <f t="shared" ref="A79" si="75">B79&amp;"_2"</f>
        <v>NHK_Mb_DMEM_stv_2</v>
      </c>
      <c r="B79" t="s">
        <v>68</v>
      </c>
      <c r="C79">
        <v>2225222</v>
      </c>
      <c r="D79">
        <v>10</v>
      </c>
      <c r="E79">
        <v>2252451</v>
      </c>
      <c r="F79">
        <f t="shared" si="63"/>
        <v>0.98791139074723489</v>
      </c>
    </row>
    <row r="80" spans="1:6" x14ac:dyDescent="0.25">
      <c r="A80" t="str">
        <f t="shared" ref="A80" si="76">B80&amp;"_3"</f>
        <v>NHK_Mb_DMEM_stv_3</v>
      </c>
      <c r="B80" t="s">
        <v>68</v>
      </c>
      <c r="C80">
        <v>2251391</v>
      </c>
      <c r="D80">
        <v>10</v>
      </c>
      <c r="E80">
        <v>2292837</v>
      </c>
      <c r="F80">
        <f t="shared" si="63"/>
        <v>0.98192370412724495</v>
      </c>
    </row>
    <row r="81" spans="1:6" x14ac:dyDescent="0.25">
      <c r="A81" t="str">
        <f t="shared" ref="A81" si="77">B81&amp;"_4"</f>
        <v>NHK_Mb_DMEM_stv_4</v>
      </c>
      <c r="B81" t="s">
        <v>68</v>
      </c>
      <c r="C81">
        <v>2241529</v>
      </c>
      <c r="D81">
        <v>10</v>
      </c>
      <c r="E81">
        <v>2288966</v>
      </c>
      <c r="F81">
        <f t="shared" si="63"/>
        <v>0.97927579527175157</v>
      </c>
    </row>
    <row r="82" spans="1:6" x14ac:dyDescent="0.25">
      <c r="A82" t="str">
        <f t="shared" ref="A82" si="78">B82&amp;"_1"</f>
        <v>NHK_Mb_DMEM_stv_1</v>
      </c>
      <c r="B82" t="s">
        <v>68</v>
      </c>
      <c r="C82">
        <v>2270274</v>
      </c>
      <c r="D82">
        <v>20</v>
      </c>
      <c r="E82">
        <v>2258768</v>
      </c>
      <c r="F82">
        <f t="shared" si="63"/>
        <v>1.0050939273090465</v>
      </c>
    </row>
    <row r="83" spans="1:6" x14ac:dyDescent="0.25">
      <c r="A83" t="str">
        <f t="shared" ref="A83" si="79">B83&amp;"_2"</f>
        <v>NHK_Mb_DMEM_stv_2</v>
      </c>
      <c r="B83" t="s">
        <v>68</v>
      </c>
      <c r="C83">
        <v>2257790</v>
      </c>
      <c r="D83">
        <v>20</v>
      </c>
      <c r="E83">
        <v>2252451</v>
      </c>
      <c r="F83">
        <f t="shared" si="63"/>
        <v>1.0023703068346437</v>
      </c>
    </row>
    <row r="84" spans="1:6" x14ac:dyDescent="0.25">
      <c r="A84" t="str">
        <f t="shared" ref="A84" si="80">B84&amp;"_3"</f>
        <v>NHK_Mb_DMEM_stv_3</v>
      </c>
      <c r="B84" t="s">
        <v>68</v>
      </c>
      <c r="C84">
        <v>2265726</v>
      </c>
      <c r="D84">
        <v>20</v>
      </c>
      <c r="E84">
        <v>2292837</v>
      </c>
      <c r="F84">
        <f t="shared" si="63"/>
        <v>0.98817578397417694</v>
      </c>
    </row>
    <row r="85" spans="1:6" x14ac:dyDescent="0.25">
      <c r="A85" t="str">
        <f t="shared" ref="A85" si="81">B85&amp;"_4"</f>
        <v>NHK_Mb_DMEM_stv_4</v>
      </c>
      <c r="B85" t="s">
        <v>68</v>
      </c>
      <c r="C85">
        <v>2265537</v>
      </c>
      <c r="D85">
        <v>20</v>
      </c>
      <c r="E85">
        <v>2288966</v>
      </c>
      <c r="F85">
        <f t="shared" si="63"/>
        <v>0.98976437395749872</v>
      </c>
    </row>
    <row r="86" spans="1:6" x14ac:dyDescent="0.25">
      <c r="A86" t="str">
        <f t="shared" ref="A86" si="82">B86&amp;"_1"</f>
        <v>NHK_Mb_DMEM_stv_1</v>
      </c>
      <c r="B86" t="s">
        <v>68</v>
      </c>
      <c r="C86">
        <v>2307185</v>
      </c>
      <c r="D86">
        <v>30</v>
      </c>
      <c r="E86">
        <v>2258768</v>
      </c>
      <c r="F86">
        <f t="shared" si="63"/>
        <v>1.0214351363221013</v>
      </c>
    </row>
    <row r="87" spans="1:6" x14ac:dyDescent="0.25">
      <c r="A87" t="str">
        <f t="shared" ref="A87" si="83">B87&amp;"_2"</f>
        <v>NHK_Mb_DMEM_stv_2</v>
      </c>
      <c r="B87" t="s">
        <v>68</v>
      </c>
      <c r="C87">
        <v>2326225</v>
      </c>
      <c r="D87">
        <v>30</v>
      </c>
      <c r="E87">
        <v>2252451</v>
      </c>
      <c r="F87">
        <f t="shared" si="63"/>
        <v>1.0327527657649378</v>
      </c>
    </row>
    <row r="88" spans="1:6" x14ac:dyDescent="0.25">
      <c r="A88" t="str">
        <f t="shared" ref="A88" si="84">B88&amp;"_3"</f>
        <v>NHK_Mb_DMEM_stv_3</v>
      </c>
      <c r="B88" t="s">
        <v>68</v>
      </c>
      <c r="C88">
        <v>2332149</v>
      </c>
      <c r="D88">
        <v>30</v>
      </c>
      <c r="E88">
        <v>2292837</v>
      </c>
      <c r="F88">
        <f t="shared" si="63"/>
        <v>1.0171455711853916</v>
      </c>
    </row>
    <row r="89" spans="1:6" x14ac:dyDescent="0.25">
      <c r="A89" t="str">
        <f t="shared" ref="A89" si="85">B89&amp;"_4"</f>
        <v>NHK_Mb_DMEM_stv_4</v>
      </c>
      <c r="B89" t="s">
        <v>68</v>
      </c>
      <c r="C89">
        <v>2333539</v>
      </c>
      <c r="D89">
        <v>30</v>
      </c>
      <c r="E89">
        <v>2288966</v>
      </c>
      <c r="F89">
        <f t="shared" si="63"/>
        <v>1.019472984745077</v>
      </c>
    </row>
    <row r="90" spans="1:6" x14ac:dyDescent="0.25">
      <c r="A90" t="str">
        <f t="shared" ref="A90" si="86">B90&amp;"_1"</f>
        <v>NHK_Mb_DMEM_stv_1</v>
      </c>
      <c r="B90" t="s">
        <v>68</v>
      </c>
      <c r="C90">
        <v>2400746</v>
      </c>
      <c r="D90">
        <v>60</v>
      </c>
      <c r="E90">
        <v>2258768</v>
      </c>
      <c r="F90">
        <f t="shared" si="63"/>
        <v>1.0628563889695621</v>
      </c>
    </row>
    <row r="91" spans="1:6" x14ac:dyDescent="0.25">
      <c r="A91" t="str">
        <f t="shared" ref="A91" si="87">B91&amp;"_2"</f>
        <v>NHK_Mb_DMEM_stv_2</v>
      </c>
      <c r="B91" t="s">
        <v>68</v>
      </c>
      <c r="C91">
        <v>2403835</v>
      </c>
      <c r="D91">
        <v>60</v>
      </c>
      <c r="E91">
        <v>2252451</v>
      </c>
      <c r="F91">
        <f t="shared" si="63"/>
        <v>1.0672085652473684</v>
      </c>
    </row>
    <row r="92" spans="1:6" x14ac:dyDescent="0.25">
      <c r="A92" t="str">
        <f t="shared" ref="A92" si="88">B92&amp;"_3"</f>
        <v>NHK_Mb_DMEM_stv_3</v>
      </c>
      <c r="B92" t="s">
        <v>68</v>
      </c>
      <c r="C92">
        <v>2419491</v>
      </c>
      <c r="D92">
        <v>60</v>
      </c>
      <c r="E92">
        <v>2292837</v>
      </c>
      <c r="F92">
        <f t="shared" si="63"/>
        <v>1.0552389899500052</v>
      </c>
    </row>
    <row r="93" spans="1:6" x14ac:dyDescent="0.25">
      <c r="A93" t="str">
        <f t="shared" ref="A93" si="89">B93&amp;"_4"</f>
        <v>NHK_Mb_DMEM_stv_4</v>
      </c>
      <c r="B93" t="s">
        <v>68</v>
      </c>
      <c r="C93">
        <v>2415786</v>
      </c>
      <c r="D93">
        <v>60</v>
      </c>
      <c r="E93">
        <v>2288966</v>
      </c>
      <c r="F93">
        <f t="shared" si="63"/>
        <v>1.0554049295620818</v>
      </c>
    </row>
    <row r="94" spans="1:6" x14ac:dyDescent="0.25">
      <c r="A94" t="str">
        <f t="shared" ref="A94" si="90">B94&amp;"_1"</f>
        <v>NHK_Mb_DMEM_stv_1</v>
      </c>
      <c r="B94" t="s">
        <v>68</v>
      </c>
      <c r="C94">
        <v>2436817</v>
      </c>
      <c r="D94">
        <v>90</v>
      </c>
      <c r="E94">
        <v>2258768</v>
      </c>
      <c r="F94">
        <f t="shared" si="63"/>
        <v>1.0788257138404653</v>
      </c>
    </row>
    <row r="95" spans="1:6" x14ac:dyDescent="0.25">
      <c r="A95" t="str">
        <f t="shared" ref="A95" si="91">B95&amp;"_2"</f>
        <v>NHK_Mb_DMEM_stv_2</v>
      </c>
      <c r="B95" t="s">
        <v>68</v>
      </c>
      <c r="C95">
        <v>2461362</v>
      </c>
      <c r="D95">
        <v>90</v>
      </c>
      <c r="E95">
        <v>2252451</v>
      </c>
      <c r="F95">
        <f t="shared" si="63"/>
        <v>1.0927482995190572</v>
      </c>
    </row>
    <row r="96" spans="1:6" x14ac:dyDescent="0.25">
      <c r="A96" t="str">
        <f t="shared" ref="A96" si="92">B96&amp;"_3"</f>
        <v>NHK_Mb_DMEM_stv_3</v>
      </c>
      <c r="B96" t="s">
        <v>68</v>
      </c>
      <c r="C96">
        <v>2451071</v>
      </c>
      <c r="D96">
        <v>90</v>
      </c>
      <c r="E96">
        <v>2292837</v>
      </c>
      <c r="F96">
        <f t="shared" si="63"/>
        <v>1.0690123196720918</v>
      </c>
    </row>
    <row r="97" spans="1:6" x14ac:dyDescent="0.25">
      <c r="A97" t="str">
        <f t="shared" ref="A97" si="93">B97&amp;"_4"</f>
        <v>NHK_Mb_DMEM_stv_4</v>
      </c>
      <c r="B97" t="s">
        <v>68</v>
      </c>
      <c r="C97">
        <v>2438183</v>
      </c>
      <c r="D97">
        <v>90</v>
      </c>
      <c r="E97">
        <v>2288966</v>
      </c>
      <c r="F97">
        <f t="shared" si="63"/>
        <v>1.0651896970072949</v>
      </c>
    </row>
    <row r="98" spans="1:6" x14ac:dyDescent="0.25">
      <c r="A98" t="str">
        <f t="shared" ref="A98" si="94">B98&amp;"_1"</f>
        <v>NHK_Mb_DMEM_stv_1</v>
      </c>
      <c r="B98" t="s">
        <v>68</v>
      </c>
      <c r="C98">
        <v>2462649</v>
      </c>
      <c r="D98">
        <v>120</v>
      </c>
      <c r="E98">
        <v>2258768</v>
      </c>
      <c r="F98">
        <f t="shared" si="63"/>
        <v>1.0902620366500677</v>
      </c>
    </row>
    <row r="99" spans="1:6" x14ac:dyDescent="0.25">
      <c r="A99" t="str">
        <f t="shared" ref="A99" si="95">B99&amp;"_2"</f>
        <v>NHK_Mb_DMEM_stv_2</v>
      </c>
      <c r="B99" t="s">
        <v>68</v>
      </c>
      <c r="C99">
        <v>2478219</v>
      </c>
      <c r="D99">
        <v>120</v>
      </c>
      <c r="E99">
        <v>2252451</v>
      </c>
      <c r="F99">
        <f t="shared" si="63"/>
        <v>1.1002321471144101</v>
      </c>
    </row>
    <row r="100" spans="1:6" x14ac:dyDescent="0.25">
      <c r="A100" t="str">
        <f t="shared" ref="A100" si="96">B100&amp;"_3"</f>
        <v>NHK_Mb_DMEM_stv_3</v>
      </c>
      <c r="B100" t="s">
        <v>68</v>
      </c>
      <c r="C100">
        <v>2471135</v>
      </c>
      <c r="D100">
        <v>120</v>
      </c>
      <c r="E100">
        <v>2292837</v>
      </c>
      <c r="F100">
        <f t="shared" si="63"/>
        <v>1.0777630507532807</v>
      </c>
    </row>
    <row r="101" spans="1:6" x14ac:dyDescent="0.25">
      <c r="A101" t="str">
        <f t="shared" ref="A101" si="97">B101&amp;"_4"</f>
        <v>NHK_Mb_DMEM_stv_4</v>
      </c>
      <c r="B101" t="s">
        <v>68</v>
      </c>
      <c r="C101">
        <v>2471810</v>
      </c>
      <c r="D101">
        <v>120</v>
      </c>
      <c r="E101">
        <v>2288966</v>
      </c>
      <c r="F101">
        <f t="shared" si="63"/>
        <v>1.0798806098474159</v>
      </c>
    </row>
    <row r="102" spans="1:6" x14ac:dyDescent="0.25">
      <c r="A102" t="str">
        <f t="shared" ref="A102" si="98">B102&amp;"_1"</f>
        <v>NHK_Mb_DMEM_stv_1</v>
      </c>
      <c r="B102" t="s">
        <v>68</v>
      </c>
      <c r="C102">
        <v>2480277</v>
      </c>
      <c r="D102">
        <v>150</v>
      </c>
      <c r="E102">
        <v>2258768</v>
      </c>
      <c r="F102">
        <f t="shared" si="63"/>
        <v>1.0980662910046539</v>
      </c>
    </row>
    <row r="103" spans="1:6" x14ac:dyDescent="0.25">
      <c r="A103" t="str">
        <f t="shared" ref="A103" si="99">B103&amp;"_2"</f>
        <v>NHK_Mb_DMEM_stv_2</v>
      </c>
      <c r="B103" t="s">
        <v>68</v>
      </c>
      <c r="C103">
        <v>2507985</v>
      </c>
      <c r="D103">
        <v>150</v>
      </c>
      <c r="E103">
        <v>2252451</v>
      </c>
      <c r="F103">
        <f t="shared" si="63"/>
        <v>1.1134470849754334</v>
      </c>
    </row>
    <row r="104" spans="1:6" x14ac:dyDescent="0.25">
      <c r="A104" t="str">
        <f t="shared" ref="A104" si="100">B104&amp;"_3"</f>
        <v>NHK_Mb_DMEM_stv_3</v>
      </c>
      <c r="B104" t="s">
        <v>68</v>
      </c>
      <c r="C104">
        <v>2517034</v>
      </c>
      <c r="D104">
        <v>150</v>
      </c>
      <c r="E104">
        <v>2292837</v>
      </c>
      <c r="F104">
        <f t="shared" si="63"/>
        <v>1.0977814820678486</v>
      </c>
    </row>
    <row r="105" spans="1:6" x14ac:dyDescent="0.25">
      <c r="A105" t="str">
        <f t="shared" ref="A105" si="101">B105&amp;"_4"</f>
        <v>NHK_Mb_DMEM_stv_4</v>
      </c>
      <c r="B105" t="s">
        <v>68</v>
      </c>
      <c r="C105">
        <v>2512976</v>
      </c>
      <c r="D105">
        <v>150</v>
      </c>
      <c r="E105">
        <v>2288966</v>
      </c>
      <c r="F105">
        <f t="shared" si="63"/>
        <v>1.0978651495915623</v>
      </c>
    </row>
    <row r="106" spans="1:6" x14ac:dyDescent="0.25">
      <c r="A106" t="str">
        <f t="shared" ref="A106" si="102">B106&amp;"_1"</f>
        <v>NHK_Mb_DMEM_stv_1</v>
      </c>
      <c r="B106" t="s">
        <v>68</v>
      </c>
      <c r="C106">
        <v>2493585</v>
      </c>
      <c r="D106">
        <v>180</v>
      </c>
      <c r="E106">
        <v>2258768</v>
      </c>
      <c r="F106">
        <f t="shared" si="63"/>
        <v>1.1039579983424592</v>
      </c>
    </row>
    <row r="107" spans="1:6" x14ac:dyDescent="0.25">
      <c r="A107" t="str">
        <f t="shared" ref="A107" si="103">B107&amp;"_2"</f>
        <v>NHK_Mb_DMEM_stv_2</v>
      </c>
      <c r="B107" t="s">
        <v>68</v>
      </c>
      <c r="C107">
        <v>2520570</v>
      </c>
      <c r="D107">
        <v>180</v>
      </c>
      <c r="E107">
        <v>2252451</v>
      </c>
      <c r="F107">
        <f t="shared" si="63"/>
        <v>1.1190343319344127</v>
      </c>
    </row>
    <row r="108" spans="1:6" x14ac:dyDescent="0.25">
      <c r="A108" t="str">
        <f t="shared" ref="A108" si="104">B108&amp;"_3"</f>
        <v>NHK_Mb_DMEM_stv_3</v>
      </c>
      <c r="B108" t="s">
        <v>68</v>
      </c>
      <c r="C108">
        <v>2519989</v>
      </c>
      <c r="D108">
        <v>180</v>
      </c>
      <c r="E108">
        <v>2292837</v>
      </c>
      <c r="F108">
        <f t="shared" si="63"/>
        <v>1.0990702784367139</v>
      </c>
    </row>
    <row r="109" spans="1:6" x14ac:dyDescent="0.25">
      <c r="A109" t="str">
        <f t="shared" ref="A109" si="105">B109&amp;"_4"</f>
        <v>NHK_Mb_DMEM_stv_4</v>
      </c>
      <c r="B109" t="s">
        <v>68</v>
      </c>
      <c r="C109">
        <v>2515728</v>
      </c>
      <c r="D109">
        <v>180</v>
      </c>
      <c r="E109">
        <v>2288966</v>
      </c>
      <c r="F109">
        <f t="shared" si="63"/>
        <v>1.0990674391843305</v>
      </c>
    </row>
    <row r="110" spans="1:6" x14ac:dyDescent="0.25">
      <c r="A110" t="str">
        <f t="shared" ref="A110" si="106">B110&amp;"_1"</f>
        <v>NHK_Mb_OMEM_stv_1</v>
      </c>
      <c r="B110" t="s">
        <v>71</v>
      </c>
      <c r="C110">
        <v>2244641</v>
      </c>
      <c r="D110">
        <v>2</v>
      </c>
      <c r="E110">
        <v>2244641</v>
      </c>
      <c r="F110">
        <f t="shared" si="63"/>
        <v>1</v>
      </c>
    </row>
    <row r="111" spans="1:6" x14ac:dyDescent="0.25">
      <c r="A111" t="str">
        <f t="shared" ref="A111" si="107">B111&amp;"_2"</f>
        <v>NHK_Mb_OMEM_stv_2</v>
      </c>
      <c r="B111" t="s">
        <v>71</v>
      </c>
      <c r="C111">
        <v>2272772</v>
      </c>
      <c r="D111">
        <v>2</v>
      </c>
      <c r="E111">
        <v>2272772</v>
      </c>
      <c r="F111">
        <f t="shared" si="63"/>
        <v>1</v>
      </c>
    </row>
    <row r="112" spans="1:6" x14ac:dyDescent="0.25">
      <c r="A112" t="str">
        <f t="shared" ref="A112" si="108">B112&amp;"_3"</f>
        <v>NHK_Mb_OMEM_stv_3</v>
      </c>
      <c r="B112" t="s">
        <v>71</v>
      </c>
      <c r="C112">
        <v>2279642</v>
      </c>
      <c r="D112">
        <v>2</v>
      </c>
      <c r="E112">
        <v>2279642</v>
      </c>
      <c r="F112">
        <f t="shared" si="63"/>
        <v>1</v>
      </c>
    </row>
    <row r="113" spans="1:6" x14ac:dyDescent="0.25">
      <c r="A113" t="str">
        <f t="shared" ref="A113" si="109">B113&amp;"_4"</f>
        <v>NHK_Mb_OMEM_stv_4</v>
      </c>
      <c r="B113" t="s">
        <v>71</v>
      </c>
      <c r="C113">
        <v>2260993</v>
      </c>
      <c r="D113">
        <v>2</v>
      </c>
      <c r="E113">
        <v>2260993</v>
      </c>
      <c r="F113">
        <f t="shared" si="63"/>
        <v>1</v>
      </c>
    </row>
    <row r="114" spans="1:6" x14ac:dyDescent="0.25">
      <c r="A114" t="str">
        <f t="shared" ref="A114" si="110">B114&amp;"_1"</f>
        <v>NHK_Mb_OMEM_stv_1</v>
      </c>
      <c r="B114" t="s">
        <v>71</v>
      </c>
      <c r="C114">
        <v>2200433</v>
      </c>
      <c r="D114">
        <v>10</v>
      </c>
      <c r="E114">
        <v>2244641</v>
      </c>
      <c r="F114">
        <f t="shared" si="63"/>
        <v>0.98030509110365538</v>
      </c>
    </row>
    <row r="115" spans="1:6" x14ac:dyDescent="0.25">
      <c r="A115" t="str">
        <f t="shared" ref="A115" si="111">B115&amp;"_2"</f>
        <v>NHK_Mb_OMEM_stv_2</v>
      </c>
      <c r="B115" t="s">
        <v>71</v>
      </c>
      <c r="C115">
        <v>2249480</v>
      </c>
      <c r="D115">
        <v>10</v>
      </c>
      <c r="E115">
        <v>2272772</v>
      </c>
      <c r="F115">
        <f t="shared" si="63"/>
        <v>0.98975172168611725</v>
      </c>
    </row>
    <row r="116" spans="1:6" x14ac:dyDescent="0.25">
      <c r="A116" t="str">
        <f t="shared" ref="A116" si="112">B116&amp;"_3"</f>
        <v>NHK_Mb_OMEM_stv_3</v>
      </c>
      <c r="B116" t="s">
        <v>71</v>
      </c>
      <c r="C116">
        <v>2266784</v>
      </c>
      <c r="D116">
        <v>10</v>
      </c>
      <c r="E116">
        <v>2279642</v>
      </c>
      <c r="F116">
        <f t="shared" si="63"/>
        <v>0.9943596406804226</v>
      </c>
    </row>
    <row r="117" spans="1:6" x14ac:dyDescent="0.25">
      <c r="A117" t="str">
        <f t="shared" ref="A117" si="113">B117&amp;"_4"</f>
        <v>NHK_Mb_OMEM_stv_4</v>
      </c>
      <c r="B117" t="s">
        <v>71</v>
      </c>
      <c r="C117">
        <v>2240092</v>
      </c>
      <c r="D117">
        <v>10</v>
      </c>
      <c r="E117">
        <v>2260993</v>
      </c>
      <c r="F117">
        <f t="shared" si="63"/>
        <v>0.99075583161911607</v>
      </c>
    </row>
    <row r="118" spans="1:6" x14ac:dyDescent="0.25">
      <c r="A118" t="str">
        <f t="shared" ref="A118" si="114">B118&amp;"_1"</f>
        <v>NHK_Mb_OMEM_stv_1</v>
      </c>
      <c r="B118" t="s">
        <v>71</v>
      </c>
      <c r="C118">
        <v>2247689</v>
      </c>
      <c r="D118">
        <v>20</v>
      </c>
      <c r="E118">
        <v>2244641</v>
      </c>
      <c r="F118">
        <f t="shared" si="63"/>
        <v>1.0013579008848186</v>
      </c>
    </row>
    <row r="119" spans="1:6" x14ac:dyDescent="0.25">
      <c r="A119" t="str">
        <f t="shared" ref="A119" si="115">B119&amp;"_2"</f>
        <v>NHK_Mb_OMEM_stv_2</v>
      </c>
      <c r="B119" t="s">
        <v>71</v>
      </c>
      <c r="C119">
        <v>2274463</v>
      </c>
      <c r="D119">
        <v>20</v>
      </c>
      <c r="E119">
        <v>2272772</v>
      </c>
      <c r="F119">
        <f t="shared" si="63"/>
        <v>1.000744025357581</v>
      </c>
    </row>
    <row r="120" spans="1:6" x14ac:dyDescent="0.25">
      <c r="A120" t="str">
        <f t="shared" ref="A120" si="116">B120&amp;"_3"</f>
        <v>NHK_Mb_OMEM_stv_3</v>
      </c>
      <c r="B120" t="s">
        <v>71</v>
      </c>
      <c r="C120">
        <v>2288671</v>
      </c>
      <c r="D120">
        <v>20</v>
      </c>
      <c r="E120">
        <v>2279642</v>
      </c>
      <c r="F120">
        <f t="shared" si="63"/>
        <v>1.0039607096201948</v>
      </c>
    </row>
    <row r="121" spans="1:6" x14ac:dyDescent="0.25">
      <c r="A121" t="str">
        <f t="shared" ref="A121" si="117">B121&amp;"_4"</f>
        <v>NHK_Mb_OMEM_stv_4</v>
      </c>
      <c r="B121" t="s">
        <v>71</v>
      </c>
      <c r="C121">
        <v>2261433</v>
      </c>
      <c r="D121">
        <v>20</v>
      </c>
      <c r="E121">
        <v>2260993</v>
      </c>
      <c r="F121">
        <f t="shared" si="63"/>
        <v>1.0001946047599439</v>
      </c>
    </row>
    <row r="122" spans="1:6" x14ac:dyDescent="0.25">
      <c r="A122" t="str">
        <f t="shared" ref="A122" si="118">B122&amp;"_1"</f>
        <v>NHK_Mb_OMEM_stv_1</v>
      </c>
      <c r="B122" t="s">
        <v>71</v>
      </c>
      <c r="C122">
        <v>2279393</v>
      </c>
      <c r="D122">
        <v>30</v>
      </c>
      <c r="E122">
        <v>2244641</v>
      </c>
      <c r="F122">
        <f t="shared" si="63"/>
        <v>1.0154822085135218</v>
      </c>
    </row>
    <row r="123" spans="1:6" x14ac:dyDescent="0.25">
      <c r="A123" t="str">
        <f t="shared" ref="A123" si="119">B123&amp;"_2"</f>
        <v>NHK_Mb_OMEM_stv_2</v>
      </c>
      <c r="B123" t="s">
        <v>71</v>
      </c>
      <c r="C123">
        <v>2326283</v>
      </c>
      <c r="D123">
        <v>30</v>
      </c>
      <c r="E123">
        <v>2272772</v>
      </c>
      <c r="F123">
        <f t="shared" si="63"/>
        <v>1.0235443766466676</v>
      </c>
    </row>
    <row r="124" spans="1:6" x14ac:dyDescent="0.25">
      <c r="A124" t="str">
        <f t="shared" ref="A124" si="120">B124&amp;"_3"</f>
        <v>NHK_Mb_OMEM_stv_3</v>
      </c>
      <c r="B124" t="s">
        <v>71</v>
      </c>
      <c r="C124">
        <v>2336573</v>
      </c>
      <c r="D124">
        <v>30</v>
      </c>
      <c r="E124">
        <v>2279642</v>
      </c>
      <c r="F124">
        <f t="shared" si="63"/>
        <v>1.0249736581445683</v>
      </c>
    </row>
    <row r="125" spans="1:6" x14ac:dyDescent="0.25">
      <c r="A125" t="str">
        <f t="shared" ref="A125" si="121">B125&amp;"_4"</f>
        <v>NHK_Mb_OMEM_stv_4</v>
      </c>
      <c r="B125" t="s">
        <v>71</v>
      </c>
      <c r="C125">
        <v>2320216</v>
      </c>
      <c r="D125">
        <v>30</v>
      </c>
      <c r="E125">
        <v>2260993</v>
      </c>
      <c r="F125">
        <f t="shared" si="63"/>
        <v>1.0261933584049132</v>
      </c>
    </row>
    <row r="126" spans="1:6" x14ac:dyDescent="0.25">
      <c r="A126" t="str">
        <f t="shared" ref="A126" si="122">B126&amp;"_1"</f>
        <v>NHK_Mb_OMEM_stv_1</v>
      </c>
      <c r="B126" t="s">
        <v>71</v>
      </c>
      <c r="C126">
        <v>2373652</v>
      </c>
      <c r="D126">
        <v>60</v>
      </c>
      <c r="E126">
        <v>2244641</v>
      </c>
      <c r="F126">
        <f t="shared" si="63"/>
        <v>1.0574751151743196</v>
      </c>
    </row>
    <row r="127" spans="1:6" x14ac:dyDescent="0.25">
      <c r="A127" t="str">
        <f t="shared" ref="A127" si="123">B127&amp;"_2"</f>
        <v>NHK_Mb_OMEM_stv_2</v>
      </c>
      <c r="B127" t="s">
        <v>71</v>
      </c>
      <c r="C127">
        <v>2439552</v>
      </c>
      <c r="D127">
        <v>60</v>
      </c>
      <c r="E127">
        <v>2272772</v>
      </c>
      <c r="F127">
        <f t="shared" si="63"/>
        <v>1.0733817558470449</v>
      </c>
    </row>
    <row r="128" spans="1:6" x14ac:dyDescent="0.25">
      <c r="A128" t="str">
        <f t="shared" ref="A128" si="124">B128&amp;"_3"</f>
        <v>NHK_Mb_OMEM_stv_3</v>
      </c>
      <c r="B128" t="s">
        <v>71</v>
      </c>
      <c r="C128">
        <v>2432815</v>
      </c>
      <c r="D128">
        <v>60</v>
      </c>
      <c r="E128">
        <v>2279642</v>
      </c>
      <c r="F128">
        <f t="shared" si="63"/>
        <v>1.0671916906251069</v>
      </c>
    </row>
    <row r="129" spans="1:6" x14ac:dyDescent="0.25">
      <c r="A129" t="str">
        <f t="shared" ref="A129" si="125">B129&amp;"_4"</f>
        <v>NHK_Mb_OMEM_stv_4</v>
      </c>
      <c r="B129" t="s">
        <v>71</v>
      </c>
      <c r="C129">
        <v>2400837</v>
      </c>
      <c r="D129">
        <v>60</v>
      </c>
      <c r="E129">
        <v>2260993</v>
      </c>
      <c r="F129">
        <f t="shared" si="63"/>
        <v>1.061850700112738</v>
      </c>
    </row>
    <row r="130" spans="1:6" x14ac:dyDescent="0.25">
      <c r="A130" t="str">
        <f t="shared" ref="A130" si="126">B130&amp;"_1"</f>
        <v>NHK_Mb_OMEM_stv_1</v>
      </c>
      <c r="B130" t="s">
        <v>71</v>
      </c>
      <c r="C130">
        <v>2426554</v>
      </c>
      <c r="D130">
        <v>90</v>
      </c>
      <c r="E130">
        <v>2244641</v>
      </c>
      <c r="F130">
        <f t="shared" si="63"/>
        <v>1.0810432492322826</v>
      </c>
    </row>
    <row r="131" spans="1:6" x14ac:dyDescent="0.25">
      <c r="A131" t="str">
        <f t="shared" ref="A131" si="127">B131&amp;"_2"</f>
        <v>NHK_Mb_OMEM_stv_2</v>
      </c>
      <c r="B131" t="s">
        <v>71</v>
      </c>
      <c r="C131">
        <v>2471101</v>
      </c>
      <c r="D131">
        <v>90</v>
      </c>
      <c r="E131">
        <v>2272772</v>
      </c>
      <c r="F131">
        <f t="shared" ref="F131:F194" si="128">C131/E131</f>
        <v>1.0872630426633203</v>
      </c>
    </row>
    <row r="132" spans="1:6" x14ac:dyDescent="0.25">
      <c r="A132" t="str">
        <f t="shared" ref="A132" si="129">B132&amp;"_3"</f>
        <v>NHK_Mb_OMEM_stv_3</v>
      </c>
      <c r="B132" t="s">
        <v>71</v>
      </c>
      <c r="C132">
        <v>2481010</v>
      </c>
      <c r="D132">
        <v>90</v>
      </c>
      <c r="E132">
        <v>2279642</v>
      </c>
      <c r="F132">
        <f t="shared" si="128"/>
        <v>1.0883331681027109</v>
      </c>
    </row>
    <row r="133" spans="1:6" x14ac:dyDescent="0.25">
      <c r="A133" t="str">
        <f t="shared" ref="A133" si="130">B133&amp;"_4"</f>
        <v>NHK_Mb_OMEM_stv_4</v>
      </c>
      <c r="B133" t="s">
        <v>71</v>
      </c>
      <c r="C133">
        <v>2448158</v>
      </c>
      <c r="D133">
        <v>90</v>
      </c>
      <c r="E133">
        <v>2260993</v>
      </c>
      <c r="F133">
        <f t="shared" si="128"/>
        <v>1.0827799997611669</v>
      </c>
    </row>
    <row r="134" spans="1:6" x14ac:dyDescent="0.25">
      <c r="A134" t="str">
        <f t="shared" ref="A134" si="131">B134&amp;"_1"</f>
        <v>NHK_Mb_OMEM_stv_1</v>
      </c>
      <c r="B134" t="s">
        <v>71</v>
      </c>
      <c r="C134">
        <v>2442740</v>
      </c>
      <c r="D134">
        <v>120</v>
      </c>
      <c r="E134">
        <v>2244641</v>
      </c>
      <c r="F134">
        <f t="shared" si="128"/>
        <v>1.0882542018968735</v>
      </c>
    </row>
    <row r="135" spans="1:6" x14ac:dyDescent="0.25">
      <c r="A135" t="str">
        <f t="shared" ref="A135" si="132">B135&amp;"_2"</f>
        <v>NHK_Mb_OMEM_stv_2</v>
      </c>
      <c r="B135" t="s">
        <v>71</v>
      </c>
      <c r="C135">
        <v>2481087</v>
      </c>
      <c r="D135">
        <v>120</v>
      </c>
      <c r="E135">
        <v>2272772</v>
      </c>
      <c r="F135">
        <f t="shared" si="128"/>
        <v>1.0916567961942509</v>
      </c>
    </row>
    <row r="136" spans="1:6" x14ac:dyDescent="0.25">
      <c r="A136" t="str">
        <f t="shared" ref="A136" si="133">B136&amp;"_3"</f>
        <v>NHK_Mb_OMEM_stv_3</v>
      </c>
      <c r="B136" t="s">
        <v>71</v>
      </c>
      <c r="C136">
        <v>2503291</v>
      </c>
      <c r="D136">
        <v>120</v>
      </c>
      <c r="E136">
        <v>2279642</v>
      </c>
      <c r="F136">
        <f t="shared" si="128"/>
        <v>1.0981070711980214</v>
      </c>
    </row>
    <row r="137" spans="1:6" x14ac:dyDescent="0.25">
      <c r="A137" t="str">
        <f t="shared" ref="A137" si="134">B137&amp;"_4"</f>
        <v>NHK_Mb_OMEM_stv_4</v>
      </c>
      <c r="B137" t="s">
        <v>71</v>
      </c>
      <c r="C137">
        <v>2469629</v>
      </c>
      <c r="D137">
        <v>120</v>
      </c>
      <c r="E137">
        <v>2260993</v>
      </c>
      <c r="F137">
        <f t="shared" si="128"/>
        <v>1.0922762697628874</v>
      </c>
    </row>
    <row r="138" spans="1:6" x14ac:dyDescent="0.25">
      <c r="A138" t="str">
        <f t="shared" ref="A138" si="135">B138&amp;"_1"</f>
        <v>NHK_Mb_OMEM_stv_1</v>
      </c>
      <c r="B138" t="s">
        <v>71</v>
      </c>
      <c r="C138">
        <v>2486217</v>
      </c>
      <c r="D138">
        <v>150</v>
      </c>
      <c r="E138">
        <v>2244641</v>
      </c>
      <c r="F138">
        <f t="shared" si="128"/>
        <v>1.1076234462437424</v>
      </c>
    </row>
    <row r="139" spans="1:6" x14ac:dyDescent="0.25">
      <c r="A139" t="str">
        <f t="shared" ref="A139" si="136">B139&amp;"_2"</f>
        <v>NHK_Mb_OMEM_stv_2</v>
      </c>
      <c r="B139" t="s">
        <v>71</v>
      </c>
      <c r="C139">
        <v>2513599</v>
      </c>
      <c r="D139">
        <v>150</v>
      </c>
      <c r="E139">
        <v>2272772</v>
      </c>
      <c r="F139">
        <f t="shared" si="128"/>
        <v>1.1059617946718809</v>
      </c>
    </row>
    <row r="140" spans="1:6" x14ac:dyDescent="0.25">
      <c r="A140" t="str">
        <f t="shared" ref="A140" si="137">B140&amp;"_3"</f>
        <v>NHK_Mb_OMEM_stv_3</v>
      </c>
      <c r="B140" t="s">
        <v>71</v>
      </c>
      <c r="C140">
        <v>2522205</v>
      </c>
      <c r="D140">
        <v>150</v>
      </c>
      <c r="E140">
        <v>2279642</v>
      </c>
      <c r="F140">
        <f t="shared" si="128"/>
        <v>1.1064039879946062</v>
      </c>
    </row>
    <row r="141" spans="1:6" x14ac:dyDescent="0.25">
      <c r="A141" t="str">
        <f t="shared" ref="A141" si="138">B141&amp;"_4"</f>
        <v>NHK_Mb_OMEM_stv_4</v>
      </c>
      <c r="B141" t="s">
        <v>71</v>
      </c>
      <c r="C141">
        <v>2508124</v>
      </c>
      <c r="D141">
        <v>150</v>
      </c>
      <c r="E141">
        <v>2260993</v>
      </c>
      <c r="F141">
        <f t="shared" si="128"/>
        <v>1.1093019748402582</v>
      </c>
    </row>
    <row r="142" spans="1:6" x14ac:dyDescent="0.25">
      <c r="A142" t="str">
        <f t="shared" ref="A142" si="139">B142&amp;"_1"</f>
        <v>NHK_Mb_OMEM_stv_1</v>
      </c>
      <c r="B142" t="s">
        <v>71</v>
      </c>
      <c r="C142">
        <v>2500876</v>
      </c>
      <c r="D142">
        <v>180</v>
      </c>
      <c r="E142">
        <v>2244641</v>
      </c>
      <c r="F142">
        <f t="shared" si="128"/>
        <v>1.114154111949305</v>
      </c>
    </row>
    <row r="143" spans="1:6" x14ac:dyDescent="0.25">
      <c r="A143" t="str">
        <f t="shared" ref="A143" si="140">B143&amp;"_2"</f>
        <v>NHK_Mb_OMEM_stv_2</v>
      </c>
      <c r="B143" t="s">
        <v>71</v>
      </c>
      <c r="C143">
        <v>2533340</v>
      </c>
      <c r="D143">
        <v>180</v>
      </c>
      <c r="E143">
        <v>2272772</v>
      </c>
      <c r="F143">
        <f t="shared" si="128"/>
        <v>1.1146476637339777</v>
      </c>
    </row>
    <row r="144" spans="1:6" x14ac:dyDescent="0.25">
      <c r="A144" t="str">
        <f t="shared" ref="A144" si="141">B144&amp;"_3"</f>
        <v>NHK_Mb_OMEM_stv_3</v>
      </c>
      <c r="B144" t="s">
        <v>71</v>
      </c>
      <c r="C144">
        <v>2557586</v>
      </c>
      <c r="D144">
        <v>180</v>
      </c>
      <c r="E144">
        <v>2279642</v>
      </c>
      <c r="F144">
        <f t="shared" si="128"/>
        <v>1.1219244074288857</v>
      </c>
    </row>
    <row r="145" spans="1:6" x14ac:dyDescent="0.25">
      <c r="A145" t="str">
        <f t="shared" ref="A145" si="142">B145&amp;"_4"</f>
        <v>NHK_Mb_OMEM_stv_4</v>
      </c>
      <c r="B145" t="s">
        <v>71</v>
      </c>
      <c r="C145">
        <v>2532623</v>
      </c>
      <c r="D145">
        <v>180</v>
      </c>
      <c r="E145">
        <v>2260993</v>
      </c>
      <c r="F145">
        <f t="shared" si="128"/>
        <v>1.1201374794172294</v>
      </c>
    </row>
    <row r="146" spans="1:6" x14ac:dyDescent="0.25">
      <c r="A146" t="str">
        <f t="shared" ref="A146" si="143">B146&amp;"_1"</f>
        <v>NHK_Mb_scramble16uL_1</v>
      </c>
      <c r="B146" t="s">
        <v>72</v>
      </c>
      <c r="C146">
        <v>2259583</v>
      </c>
      <c r="D146">
        <v>2</v>
      </c>
      <c r="E146">
        <v>2259583</v>
      </c>
      <c r="F146">
        <f t="shared" si="128"/>
        <v>1</v>
      </c>
    </row>
    <row r="147" spans="1:6" x14ac:dyDescent="0.25">
      <c r="A147" t="str">
        <f t="shared" ref="A147" si="144">B147&amp;"_2"</f>
        <v>NHK_Mb_scramble16uL_2</v>
      </c>
      <c r="B147" t="s">
        <v>72</v>
      </c>
      <c r="C147">
        <v>2272284</v>
      </c>
      <c r="D147">
        <v>2</v>
      </c>
      <c r="E147">
        <v>2272284</v>
      </c>
      <c r="F147">
        <f t="shared" si="128"/>
        <v>1</v>
      </c>
    </row>
    <row r="148" spans="1:6" x14ac:dyDescent="0.25">
      <c r="A148" t="str">
        <f t="shared" ref="A148" si="145">B148&amp;"_3"</f>
        <v>NHK_Mb_scramble16uL_3</v>
      </c>
      <c r="B148" t="s">
        <v>72</v>
      </c>
      <c r="C148">
        <v>2273134</v>
      </c>
      <c r="D148">
        <v>2</v>
      </c>
      <c r="E148">
        <v>2273134</v>
      </c>
      <c r="F148">
        <f t="shared" si="128"/>
        <v>1</v>
      </c>
    </row>
    <row r="149" spans="1:6" x14ac:dyDescent="0.25">
      <c r="A149" t="str">
        <f t="shared" ref="A149" si="146">B149&amp;"_4"</f>
        <v>NHK_Mb_scramble16uL_4</v>
      </c>
      <c r="B149" t="s">
        <v>72</v>
      </c>
      <c r="C149">
        <v>2227300</v>
      </c>
      <c r="D149">
        <v>2</v>
      </c>
      <c r="E149">
        <v>2227300</v>
      </c>
      <c r="F149">
        <f t="shared" si="128"/>
        <v>1</v>
      </c>
    </row>
    <row r="150" spans="1:6" x14ac:dyDescent="0.25">
      <c r="A150" t="str">
        <f t="shared" ref="A150" si="147">B150&amp;"_1"</f>
        <v>NHK_Mb_scramble16uL_1</v>
      </c>
      <c r="B150" t="s">
        <v>72</v>
      </c>
      <c r="C150">
        <v>2257094</v>
      </c>
      <c r="D150">
        <v>10</v>
      </c>
      <c r="E150">
        <v>2259583</v>
      </c>
      <c r="F150">
        <f t="shared" si="128"/>
        <v>0.99889846931933901</v>
      </c>
    </row>
    <row r="151" spans="1:6" x14ac:dyDescent="0.25">
      <c r="A151" t="str">
        <f t="shared" ref="A151" si="148">B151&amp;"_2"</f>
        <v>NHK_Mb_scramble16uL_2</v>
      </c>
      <c r="B151" t="s">
        <v>72</v>
      </c>
      <c r="C151">
        <v>2239196</v>
      </c>
      <c r="D151">
        <v>10</v>
      </c>
      <c r="E151">
        <v>2272284</v>
      </c>
      <c r="F151">
        <f t="shared" si="128"/>
        <v>0.9854384399133207</v>
      </c>
    </row>
    <row r="152" spans="1:6" x14ac:dyDescent="0.25">
      <c r="A152" t="str">
        <f t="shared" ref="A152" si="149">B152&amp;"_3"</f>
        <v>NHK_Mb_scramble16uL_3</v>
      </c>
      <c r="B152" t="s">
        <v>72</v>
      </c>
      <c r="C152">
        <v>2258195</v>
      </c>
      <c r="D152">
        <v>10</v>
      </c>
      <c r="E152">
        <v>2273134</v>
      </c>
      <c r="F152">
        <f t="shared" si="128"/>
        <v>0.99342801612223475</v>
      </c>
    </row>
    <row r="153" spans="1:6" x14ac:dyDescent="0.25">
      <c r="A153" t="str">
        <f t="shared" ref="A153" si="150">B153&amp;"_4"</f>
        <v>NHK_Mb_scramble16uL_4</v>
      </c>
      <c r="B153" t="s">
        <v>72</v>
      </c>
      <c r="C153">
        <v>2213749</v>
      </c>
      <c r="D153">
        <v>10</v>
      </c>
      <c r="E153">
        <v>2227300</v>
      </c>
      <c r="F153">
        <f t="shared" si="128"/>
        <v>0.99391595204956673</v>
      </c>
    </row>
    <row r="154" spans="1:6" x14ac:dyDescent="0.25">
      <c r="A154" t="str">
        <f t="shared" ref="A154" si="151">B154&amp;"_1"</f>
        <v>NHK_Mb_scramble16uL_1</v>
      </c>
      <c r="B154" t="s">
        <v>72</v>
      </c>
      <c r="C154">
        <v>2267394</v>
      </c>
      <c r="D154">
        <v>20</v>
      </c>
      <c r="E154">
        <v>2259583</v>
      </c>
      <c r="F154">
        <f t="shared" si="128"/>
        <v>1.003456832521753</v>
      </c>
    </row>
    <row r="155" spans="1:6" x14ac:dyDescent="0.25">
      <c r="A155" t="str">
        <f t="shared" ref="A155" si="152">B155&amp;"_2"</f>
        <v>NHK_Mb_scramble16uL_2</v>
      </c>
      <c r="B155" t="s">
        <v>72</v>
      </c>
      <c r="C155">
        <v>2295304</v>
      </c>
      <c r="D155">
        <v>20</v>
      </c>
      <c r="E155">
        <v>2272284</v>
      </c>
      <c r="F155">
        <f t="shared" si="128"/>
        <v>1.0101307759065328</v>
      </c>
    </row>
    <row r="156" spans="1:6" x14ac:dyDescent="0.25">
      <c r="A156" t="str">
        <f t="shared" ref="A156" si="153">B156&amp;"_3"</f>
        <v>NHK_Mb_scramble16uL_3</v>
      </c>
      <c r="B156" t="s">
        <v>72</v>
      </c>
      <c r="C156">
        <v>2326368</v>
      </c>
      <c r="D156">
        <v>20</v>
      </c>
      <c r="E156">
        <v>2273134</v>
      </c>
      <c r="F156">
        <f t="shared" si="128"/>
        <v>1.0234187689771039</v>
      </c>
    </row>
    <row r="157" spans="1:6" x14ac:dyDescent="0.25">
      <c r="A157" t="str">
        <f t="shared" ref="A157" si="154">B157&amp;"_4"</f>
        <v>NHK_Mb_scramble16uL_4</v>
      </c>
      <c r="B157" t="s">
        <v>72</v>
      </c>
      <c r="C157">
        <v>2278179</v>
      </c>
      <c r="D157">
        <v>20</v>
      </c>
      <c r="E157">
        <v>2227300</v>
      </c>
      <c r="F157">
        <f t="shared" si="128"/>
        <v>1.0228433529385355</v>
      </c>
    </row>
    <row r="158" spans="1:6" x14ac:dyDescent="0.25">
      <c r="A158" t="str">
        <f t="shared" ref="A158" si="155">B158&amp;"_1"</f>
        <v>NHK_Mb_scramble16uL_1</v>
      </c>
      <c r="B158" t="s">
        <v>72</v>
      </c>
      <c r="C158">
        <v>2343523</v>
      </c>
      <c r="D158">
        <v>30</v>
      </c>
      <c r="E158">
        <v>2259583</v>
      </c>
      <c r="F158">
        <f t="shared" si="128"/>
        <v>1.0371484473020023</v>
      </c>
    </row>
    <row r="159" spans="1:6" x14ac:dyDescent="0.25">
      <c r="A159" t="str">
        <f t="shared" ref="A159" si="156">B159&amp;"_2"</f>
        <v>NHK_Mb_scramble16uL_2</v>
      </c>
      <c r="B159" t="s">
        <v>72</v>
      </c>
      <c r="C159">
        <v>2344473</v>
      </c>
      <c r="D159">
        <v>30</v>
      </c>
      <c r="E159">
        <v>2272284</v>
      </c>
      <c r="F159">
        <f t="shared" si="128"/>
        <v>1.0317693562952519</v>
      </c>
    </row>
    <row r="160" spans="1:6" x14ac:dyDescent="0.25">
      <c r="A160" t="str">
        <f t="shared" ref="A160" si="157">B160&amp;"_3"</f>
        <v>NHK_Mb_scramble16uL_3</v>
      </c>
      <c r="B160" t="s">
        <v>72</v>
      </c>
      <c r="C160">
        <v>2364779</v>
      </c>
      <c r="D160">
        <v>30</v>
      </c>
      <c r="E160">
        <v>2273134</v>
      </c>
      <c r="F160">
        <f t="shared" si="128"/>
        <v>1.0403165849439584</v>
      </c>
    </row>
    <row r="161" spans="1:6" x14ac:dyDescent="0.25">
      <c r="A161" t="str">
        <f t="shared" ref="A161" si="158">B161&amp;"_4"</f>
        <v>NHK_Mb_scramble16uL_4</v>
      </c>
      <c r="B161" t="s">
        <v>72</v>
      </c>
      <c r="C161">
        <v>2327912</v>
      </c>
      <c r="D161">
        <v>30</v>
      </c>
      <c r="E161">
        <v>2227300</v>
      </c>
      <c r="F161">
        <f t="shared" si="128"/>
        <v>1.0451721815651236</v>
      </c>
    </row>
    <row r="162" spans="1:6" x14ac:dyDescent="0.25">
      <c r="A162" t="str">
        <f t="shared" ref="A162" si="159">B162&amp;"_1"</f>
        <v>NHK_Mb_scramble16uL_1</v>
      </c>
      <c r="B162" t="s">
        <v>72</v>
      </c>
      <c r="C162">
        <v>2430048</v>
      </c>
      <c r="D162">
        <v>60</v>
      </c>
      <c r="E162">
        <v>2259583</v>
      </c>
      <c r="F162">
        <f t="shared" si="128"/>
        <v>1.0754409109999501</v>
      </c>
    </row>
    <row r="163" spans="1:6" x14ac:dyDescent="0.25">
      <c r="A163" t="str">
        <f t="shared" ref="A163" si="160">B163&amp;"_2"</f>
        <v>NHK_Mb_scramble16uL_2</v>
      </c>
      <c r="B163" t="s">
        <v>72</v>
      </c>
      <c r="C163">
        <v>2428246</v>
      </c>
      <c r="D163">
        <v>60</v>
      </c>
      <c r="E163">
        <v>2272284</v>
      </c>
      <c r="F163">
        <f t="shared" si="128"/>
        <v>1.0686366668955114</v>
      </c>
    </row>
    <row r="164" spans="1:6" x14ac:dyDescent="0.25">
      <c r="A164" t="str">
        <f t="shared" ref="A164" si="161">B164&amp;"_3"</f>
        <v>NHK_Mb_scramble16uL_3</v>
      </c>
      <c r="B164" t="s">
        <v>72</v>
      </c>
      <c r="C164">
        <v>2452096</v>
      </c>
      <c r="D164">
        <v>60</v>
      </c>
      <c r="E164">
        <v>2273134</v>
      </c>
      <c r="F164">
        <f t="shared" si="128"/>
        <v>1.0787291906240459</v>
      </c>
    </row>
    <row r="165" spans="1:6" x14ac:dyDescent="0.25">
      <c r="A165" t="str">
        <f t="shared" ref="A165" si="162">B165&amp;"_4"</f>
        <v>NHK_Mb_scramble16uL_4</v>
      </c>
      <c r="B165" t="s">
        <v>72</v>
      </c>
      <c r="C165">
        <v>2406345</v>
      </c>
      <c r="D165">
        <v>60</v>
      </c>
      <c r="E165">
        <v>2227300</v>
      </c>
      <c r="F165">
        <f t="shared" si="128"/>
        <v>1.0803865666951018</v>
      </c>
    </row>
    <row r="166" spans="1:6" x14ac:dyDescent="0.25">
      <c r="A166" t="str">
        <f t="shared" ref="A166" si="163">B166&amp;"_1"</f>
        <v>NHK_Mb_scramble16uL_1</v>
      </c>
      <c r="B166" t="s">
        <v>72</v>
      </c>
      <c r="C166">
        <v>2471814</v>
      </c>
      <c r="D166">
        <v>90</v>
      </c>
      <c r="E166">
        <v>2259583</v>
      </c>
      <c r="F166">
        <f t="shared" si="128"/>
        <v>1.0939248525059713</v>
      </c>
    </row>
    <row r="167" spans="1:6" x14ac:dyDescent="0.25">
      <c r="A167" t="str">
        <f t="shared" ref="A167" si="164">B167&amp;"_2"</f>
        <v>NHK_Mb_scramble16uL_2</v>
      </c>
      <c r="B167" t="s">
        <v>72</v>
      </c>
      <c r="C167">
        <v>2459557</v>
      </c>
      <c r="D167">
        <v>90</v>
      </c>
      <c r="E167">
        <v>2272284</v>
      </c>
      <c r="F167">
        <f t="shared" si="128"/>
        <v>1.0824161944545665</v>
      </c>
    </row>
    <row r="168" spans="1:6" x14ac:dyDescent="0.25">
      <c r="A168" t="str">
        <f t="shared" ref="A168" si="165">B168&amp;"_3"</f>
        <v>NHK_Mb_scramble16uL_3</v>
      </c>
      <c r="B168" t="s">
        <v>72</v>
      </c>
      <c r="C168">
        <v>2490260</v>
      </c>
      <c r="D168">
        <v>90</v>
      </c>
      <c r="E168">
        <v>2273134</v>
      </c>
      <c r="F168">
        <f t="shared" si="128"/>
        <v>1.0955183460367932</v>
      </c>
    </row>
    <row r="169" spans="1:6" x14ac:dyDescent="0.25">
      <c r="A169" t="str">
        <f t="shared" ref="A169" si="166">B169&amp;"_4"</f>
        <v>NHK_Mb_scramble16uL_4</v>
      </c>
      <c r="B169" t="s">
        <v>72</v>
      </c>
      <c r="C169">
        <v>2463572</v>
      </c>
      <c r="D169">
        <v>90</v>
      </c>
      <c r="E169">
        <v>2227300</v>
      </c>
      <c r="F169">
        <f t="shared" si="128"/>
        <v>1.1060800071835855</v>
      </c>
    </row>
    <row r="170" spans="1:6" x14ac:dyDescent="0.25">
      <c r="A170" t="str">
        <f t="shared" ref="A170" si="167">B170&amp;"_1"</f>
        <v>NHK_Mb_scramble16uL_1</v>
      </c>
      <c r="B170" t="s">
        <v>72</v>
      </c>
      <c r="C170">
        <v>2506423</v>
      </c>
      <c r="D170">
        <v>120</v>
      </c>
      <c r="E170">
        <v>2259583</v>
      </c>
      <c r="F170">
        <f t="shared" si="128"/>
        <v>1.1092413954256162</v>
      </c>
    </row>
    <row r="171" spans="1:6" x14ac:dyDescent="0.25">
      <c r="A171" t="str">
        <f t="shared" ref="A171" si="168">B171&amp;"_2"</f>
        <v>NHK_Mb_scramble16uL_2</v>
      </c>
      <c r="B171" t="s">
        <v>72</v>
      </c>
      <c r="C171">
        <v>2498459</v>
      </c>
      <c r="D171">
        <v>120</v>
      </c>
      <c r="E171">
        <v>2272284</v>
      </c>
      <c r="F171">
        <f t="shared" si="128"/>
        <v>1.0995364135821051</v>
      </c>
    </row>
    <row r="172" spans="1:6" x14ac:dyDescent="0.25">
      <c r="A172" t="str">
        <f t="shared" ref="A172" si="169">B172&amp;"_3"</f>
        <v>NHK_Mb_scramble16uL_3</v>
      </c>
      <c r="B172" t="s">
        <v>72</v>
      </c>
      <c r="C172">
        <v>2530401</v>
      </c>
      <c r="D172">
        <v>120</v>
      </c>
      <c r="E172">
        <v>2273134</v>
      </c>
      <c r="F172">
        <f t="shared" si="128"/>
        <v>1.1131772258036701</v>
      </c>
    </row>
    <row r="173" spans="1:6" x14ac:dyDescent="0.25">
      <c r="A173" t="str">
        <f t="shared" ref="A173" si="170">B173&amp;"_4"</f>
        <v>NHK_Mb_scramble16uL_4</v>
      </c>
      <c r="B173" t="s">
        <v>72</v>
      </c>
      <c r="C173">
        <v>2498613</v>
      </c>
      <c r="D173">
        <v>120</v>
      </c>
      <c r="E173">
        <v>2227300</v>
      </c>
      <c r="F173">
        <f t="shared" si="128"/>
        <v>1.1218125084182642</v>
      </c>
    </row>
    <row r="174" spans="1:6" x14ac:dyDescent="0.25">
      <c r="A174" t="str">
        <f t="shared" ref="A174" si="171">B174&amp;"_1"</f>
        <v>NHK_Mb_scramble16uL_1</v>
      </c>
      <c r="B174" t="s">
        <v>72</v>
      </c>
      <c r="C174">
        <v>2548505</v>
      </c>
      <c r="D174">
        <v>150</v>
      </c>
      <c r="E174">
        <v>2259583</v>
      </c>
      <c r="F174">
        <f t="shared" si="128"/>
        <v>1.1278651857444493</v>
      </c>
    </row>
    <row r="175" spans="1:6" x14ac:dyDescent="0.25">
      <c r="A175" t="str">
        <f t="shared" ref="A175" si="172">B175&amp;"_2"</f>
        <v>NHK_Mb_scramble16uL_2</v>
      </c>
      <c r="B175" t="s">
        <v>72</v>
      </c>
      <c r="C175">
        <v>2546689</v>
      </c>
      <c r="D175">
        <v>150</v>
      </c>
      <c r="E175">
        <v>2272284</v>
      </c>
      <c r="F175">
        <f t="shared" si="128"/>
        <v>1.1207617533723777</v>
      </c>
    </row>
    <row r="176" spans="1:6" x14ac:dyDescent="0.25">
      <c r="A176" t="str">
        <f t="shared" ref="A176" si="173">B176&amp;"_3"</f>
        <v>NHK_Mb_scramble16uL_3</v>
      </c>
      <c r="B176" t="s">
        <v>72</v>
      </c>
      <c r="C176">
        <v>2562927</v>
      </c>
      <c r="D176">
        <v>150</v>
      </c>
      <c r="E176">
        <v>2273134</v>
      </c>
      <c r="F176">
        <f t="shared" si="128"/>
        <v>1.1274861050866336</v>
      </c>
    </row>
    <row r="177" spans="1:6" x14ac:dyDescent="0.25">
      <c r="A177" t="str">
        <f t="shared" ref="A177" si="174">B177&amp;"_4"</f>
        <v>NHK_Mb_scramble16uL_4</v>
      </c>
      <c r="B177" t="s">
        <v>72</v>
      </c>
      <c r="C177">
        <v>2519743</v>
      </c>
      <c r="D177">
        <v>150</v>
      </c>
      <c r="E177">
        <v>2227300</v>
      </c>
      <c r="F177">
        <f t="shared" si="128"/>
        <v>1.1312993310285997</v>
      </c>
    </row>
    <row r="178" spans="1:6" x14ac:dyDescent="0.25">
      <c r="A178" t="str">
        <f t="shared" ref="A178" si="175">B178&amp;"_1"</f>
        <v>NHK_Mb_scramble16uL_1</v>
      </c>
      <c r="B178" t="s">
        <v>72</v>
      </c>
      <c r="C178">
        <v>2575770</v>
      </c>
      <c r="D178">
        <v>180</v>
      </c>
      <c r="E178">
        <v>2259583</v>
      </c>
      <c r="F178">
        <f t="shared" si="128"/>
        <v>1.1399315714448197</v>
      </c>
    </row>
    <row r="179" spans="1:6" x14ac:dyDescent="0.25">
      <c r="A179" t="str">
        <f t="shared" ref="A179" si="176">B179&amp;"_2"</f>
        <v>NHK_Mb_scramble16uL_2</v>
      </c>
      <c r="B179" t="s">
        <v>72</v>
      </c>
      <c r="C179">
        <v>2576762</v>
      </c>
      <c r="D179">
        <v>180</v>
      </c>
      <c r="E179">
        <v>2272284</v>
      </c>
      <c r="F179">
        <f t="shared" si="128"/>
        <v>1.1339964546685186</v>
      </c>
    </row>
    <row r="180" spans="1:6" x14ac:dyDescent="0.25">
      <c r="A180" t="str">
        <f t="shared" ref="A180" si="177">B180&amp;"_3"</f>
        <v>NHK_Mb_scramble16uL_3</v>
      </c>
      <c r="B180" t="s">
        <v>72</v>
      </c>
      <c r="C180">
        <v>2597236</v>
      </c>
      <c r="D180">
        <v>180</v>
      </c>
      <c r="E180">
        <v>2273134</v>
      </c>
      <c r="F180">
        <f t="shared" si="128"/>
        <v>1.1425793639970192</v>
      </c>
    </row>
    <row r="181" spans="1:6" x14ac:dyDescent="0.25">
      <c r="A181" t="str">
        <f t="shared" ref="A181" si="178">B181&amp;"_4"</f>
        <v>NHK_Mb_scramble16uL_4</v>
      </c>
      <c r="B181" t="s">
        <v>72</v>
      </c>
      <c r="C181">
        <v>2559218</v>
      </c>
      <c r="D181">
        <v>180</v>
      </c>
      <c r="E181">
        <v>2227300</v>
      </c>
      <c r="F181">
        <f t="shared" si="128"/>
        <v>1.1490225833969381</v>
      </c>
    </row>
    <row r="182" spans="1:6" x14ac:dyDescent="0.25">
      <c r="A182" t="str">
        <f t="shared" ref="A182" si="179">B182&amp;"_1"</f>
        <v>NHK_Mb_scramble2uL_1</v>
      </c>
      <c r="B182" t="s">
        <v>73</v>
      </c>
      <c r="C182">
        <v>2351830</v>
      </c>
      <c r="D182">
        <v>2</v>
      </c>
      <c r="E182">
        <v>2351830</v>
      </c>
      <c r="F182">
        <f t="shared" si="128"/>
        <v>1</v>
      </c>
    </row>
    <row r="183" spans="1:6" x14ac:dyDescent="0.25">
      <c r="A183" t="str">
        <f t="shared" ref="A183" si="180">B183&amp;"_2"</f>
        <v>NHK_Mb_scramble2uL_2</v>
      </c>
      <c r="B183" t="s">
        <v>73</v>
      </c>
      <c r="C183">
        <v>2342657</v>
      </c>
      <c r="D183">
        <v>2</v>
      </c>
      <c r="E183">
        <v>2342657</v>
      </c>
      <c r="F183">
        <f t="shared" si="128"/>
        <v>1</v>
      </c>
    </row>
    <row r="184" spans="1:6" x14ac:dyDescent="0.25">
      <c r="A184" t="str">
        <f t="shared" ref="A184" si="181">B184&amp;"_3"</f>
        <v>NHK_Mb_scramble2uL_3</v>
      </c>
      <c r="B184" t="s">
        <v>73</v>
      </c>
      <c r="C184">
        <v>2356472</v>
      </c>
      <c r="D184">
        <v>2</v>
      </c>
      <c r="E184">
        <v>2356472</v>
      </c>
      <c r="F184">
        <f t="shared" si="128"/>
        <v>1</v>
      </c>
    </row>
    <row r="185" spans="1:6" x14ac:dyDescent="0.25">
      <c r="A185" t="str">
        <f t="shared" ref="A185" si="182">B185&amp;"_4"</f>
        <v>NHK_Mb_scramble2uL_4</v>
      </c>
      <c r="B185" t="s">
        <v>73</v>
      </c>
      <c r="C185">
        <v>2338006</v>
      </c>
      <c r="D185">
        <v>2</v>
      </c>
      <c r="E185">
        <v>2338006</v>
      </c>
      <c r="F185">
        <f t="shared" si="128"/>
        <v>1</v>
      </c>
    </row>
    <row r="186" spans="1:6" x14ac:dyDescent="0.25">
      <c r="A186" t="str">
        <f t="shared" ref="A186" si="183">B186&amp;"_1"</f>
        <v>NHK_Mb_scramble2uL_1</v>
      </c>
      <c r="B186" t="s">
        <v>73</v>
      </c>
      <c r="C186">
        <v>2282108</v>
      </c>
      <c r="D186">
        <v>10</v>
      </c>
      <c r="E186">
        <v>2351830</v>
      </c>
      <c r="F186">
        <f t="shared" si="128"/>
        <v>0.97035414974721812</v>
      </c>
    </row>
    <row r="187" spans="1:6" x14ac:dyDescent="0.25">
      <c r="A187" t="str">
        <f t="shared" ref="A187" si="184">B187&amp;"_2"</f>
        <v>NHK_Mb_scramble2uL_2</v>
      </c>
      <c r="B187" t="s">
        <v>73</v>
      </c>
      <c r="C187">
        <v>2295899</v>
      </c>
      <c r="D187">
        <v>10</v>
      </c>
      <c r="E187">
        <v>2342657</v>
      </c>
      <c r="F187">
        <f t="shared" si="128"/>
        <v>0.98004061200594028</v>
      </c>
    </row>
    <row r="188" spans="1:6" x14ac:dyDescent="0.25">
      <c r="A188" t="str">
        <f t="shared" ref="A188" si="185">B188&amp;"_3"</f>
        <v>NHK_Mb_scramble2uL_3</v>
      </c>
      <c r="B188" t="s">
        <v>73</v>
      </c>
      <c r="C188">
        <v>2301447</v>
      </c>
      <c r="D188">
        <v>10</v>
      </c>
      <c r="E188">
        <v>2356472</v>
      </c>
      <c r="F188">
        <f t="shared" si="128"/>
        <v>0.97664941488801904</v>
      </c>
    </row>
    <row r="189" spans="1:6" x14ac:dyDescent="0.25">
      <c r="A189" t="str">
        <f t="shared" ref="A189" si="186">B189&amp;"_4"</f>
        <v>NHK_Mb_scramble2uL_4</v>
      </c>
      <c r="B189" t="s">
        <v>73</v>
      </c>
      <c r="C189">
        <v>2289978</v>
      </c>
      <c r="D189">
        <v>10</v>
      </c>
      <c r="E189">
        <v>2338006</v>
      </c>
      <c r="F189">
        <f t="shared" si="128"/>
        <v>0.97945770883393801</v>
      </c>
    </row>
    <row r="190" spans="1:6" x14ac:dyDescent="0.25">
      <c r="A190" t="str">
        <f t="shared" ref="A190" si="187">B190&amp;"_1"</f>
        <v>NHK_Mb_scramble2uL_1</v>
      </c>
      <c r="B190" t="s">
        <v>73</v>
      </c>
      <c r="C190">
        <v>2340717</v>
      </c>
      <c r="D190">
        <v>20</v>
      </c>
      <c r="E190">
        <v>2351830</v>
      </c>
      <c r="F190">
        <f t="shared" si="128"/>
        <v>0.9952747434976168</v>
      </c>
    </row>
    <row r="191" spans="1:6" x14ac:dyDescent="0.25">
      <c r="A191" t="str">
        <f t="shared" ref="A191" si="188">B191&amp;"_2"</f>
        <v>NHK_Mb_scramble2uL_2</v>
      </c>
      <c r="B191" t="s">
        <v>73</v>
      </c>
      <c r="C191">
        <v>2348613</v>
      </c>
      <c r="D191">
        <v>20</v>
      </c>
      <c r="E191">
        <v>2342657</v>
      </c>
      <c r="F191">
        <f t="shared" si="128"/>
        <v>1.0025424123121738</v>
      </c>
    </row>
    <row r="192" spans="1:6" x14ac:dyDescent="0.25">
      <c r="A192" t="str">
        <f t="shared" ref="A192" si="189">B192&amp;"_3"</f>
        <v>NHK_Mb_scramble2uL_3</v>
      </c>
      <c r="B192" t="s">
        <v>73</v>
      </c>
      <c r="C192">
        <v>2349822</v>
      </c>
      <c r="D192">
        <v>20</v>
      </c>
      <c r="E192">
        <v>2356472</v>
      </c>
      <c r="F192">
        <f t="shared" si="128"/>
        <v>0.99717798471613495</v>
      </c>
    </row>
    <row r="193" spans="1:6" x14ac:dyDescent="0.25">
      <c r="A193" t="str">
        <f t="shared" ref="A193" si="190">B193&amp;"_4"</f>
        <v>NHK_Mb_scramble2uL_4</v>
      </c>
      <c r="B193" t="s">
        <v>73</v>
      </c>
      <c r="C193">
        <v>2325872</v>
      </c>
      <c r="D193">
        <v>20</v>
      </c>
      <c r="E193">
        <v>2338006</v>
      </c>
      <c r="F193">
        <f t="shared" si="128"/>
        <v>0.9948101074163197</v>
      </c>
    </row>
    <row r="194" spans="1:6" x14ac:dyDescent="0.25">
      <c r="A194" t="str">
        <f t="shared" ref="A194" si="191">B194&amp;"_1"</f>
        <v>NHK_Mb_scramble2uL_1</v>
      </c>
      <c r="B194" t="s">
        <v>73</v>
      </c>
      <c r="C194">
        <v>2399439</v>
      </c>
      <c r="D194">
        <v>30</v>
      </c>
      <c r="E194">
        <v>2351830</v>
      </c>
      <c r="F194">
        <f t="shared" si="128"/>
        <v>1.0202433849385373</v>
      </c>
    </row>
    <row r="195" spans="1:6" x14ac:dyDescent="0.25">
      <c r="A195" t="str">
        <f t="shared" ref="A195" si="192">B195&amp;"_2"</f>
        <v>NHK_Mb_scramble2uL_2</v>
      </c>
      <c r="B195" t="s">
        <v>73</v>
      </c>
      <c r="C195">
        <v>2419813</v>
      </c>
      <c r="D195">
        <v>30</v>
      </c>
      <c r="E195">
        <v>2342657</v>
      </c>
      <c r="F195">
        <f t="shared" ref="F195:F258" si="193">C195/E195</f>
        <v>1.0329352525785891</v>
      </c>
    </row>
    <row r="196" spans="1:6" x14ac:dyDescent="0.25">
      <c r="A196" t="str">
        <f t="shared" ref="A196" si="194">B196&amp;"_3"</f>
        <v>NHK_Mb_scramble2uL_3</v>
      </c>
      <c r="B196" t="s">
        <v>73</v>
      </c>
      <c r="C196">
        <v>2398327</v>
      </c>
      <c r="D196">
        <v>30</v>
      </c>
      <c r="E196">
        <v>2356472</v>
      </c>
      <c r="F196">
        <f t="shared" si="193"/>
        <v>1.0177617217603265</v>
      </c>
    </row>
    <row r="197" spans="1:6" x14ac:dyDescent="0.25">
      <c r="A197" t="str">
        <f t="shared" ref="A197" si="195">B197&amp;"_4"</f>
        <v>NHK_Mb_scramble2uL_4</v>
      </c>
      <c r="B197" t="s">
        <v>73</v>
      </c>
      <c r="C197">
        <v>2410967</v>
      </c>
      <c r="D197">
        <v>30</v>
      </c>
      <c r="E197">
        <v>2338006</v>
      </c>
      <c r="F197">
        <f t="shared" si="193"/>
        <v>1.0312065067412146</v>
      </c>
    </row>
    <row r="198" spans="1:6" x14ac:dyDescent="0.25">
      <c r="A198" t="str">
        <f t="shared" ref="A198" si="196">B198&amp;"_1"</f>
        <v>NHK_Mb_scramble2uL_1</v>
      </c>
      <c r="B198" t="s">
        <v>73</v>
      </c>
      <c r="C198">
        <v>2508060</v>
      </c>
      <c r="D198">
        <v>60</v>
      </c>
      <c r="E198">
        <v>2351830</v>
      </c>
      <c r="F198">
        <f t="shared" si="193"/>
        <v>1.0664291211524644</v>
      </c>
    </row>
    <row r="199" spans="1:6" x14ac:dyDescent="0.25">
      <c r="A199" t="str">
        <f t="shared" ref="A199" si="197">B199&amp;"_2"</f>
        <v>NHK_Mb_scramble2uL_2</v>
      </c>
      <c r="B199" t="s">
        <v>73</v>
      </c>
      <c r="C199">
        <v>2508007</v>
      </c>
      <c r="D199">
        <v>60</v>
      </c>
      <c r="E199">
        <v>2342657</v>
      </c>
      <c r="F199">
        <f t="shared" si="193"/>
        <v>1.0705822491299408</v>
      </c>
    </row>
    <row r="200" spans="1:6" x14ac:dyDescent="0.25">
      <c r="A200" t="str">
        <f t="shared" ref="A200" si="198">B200&amp;"_3"</f>
        <v>NHK_Mb_scramble2uL_3</v>
      </c>
      <c r="B200" t="s">
        <v>73</v>
      </c>
      <c r="C200">
        <v>2488359</v>
      </c>
      <c r="D200">
        <v>60</v>
      </c>
      <c r="E200">
        <v>2356472</v>
      </c>
      <c r="F200">
        <f t="shared" si="193"/>
        <v>1.0559679894350538</v>
      </c>
    </row>
    <row r="201" spans="1:6" x14ac:dyDescent="0.25">
      <c r="A201" t="str">
        <f t="shared" ref="A201" si="199">B201&amp;"_4"</f>
        <v>NHK_Mb_scramble2uL_4</v>
      </c>
      <c r="B201" t="s">
        <v>73</v>
      </c>
      <c r="C201">
        <v>2466577</v>
      </c>
      <c r="D201">
        <v>60</v>
      </c>
      <c r="E201">
        <v>2338006</v>
      </c>
      <c r="F201">
        <f t="shared" si="193"/>
        <v>1.0549917322710036</v>
      </c>
    </row>
    <row r="202" spans="1:6" x14ac:dyDescent="0.25">
      <c r="A202" t="str">
        <f t="shared" ref="A202" si="200">B202&amp;"_1"</f>
        <v>NHK_Mb_scramble2uL_1</v>
      </c>
      <c r="B202" t="s">
        <v>73</v>
      </c>
      <c r="C202">
        <v>2539896</v>
      </c>
      <c r="D202">
        <v>90</v>
      </c>
      <c r="E202">
        <v>2351830</v>
      </c>
      <c r="F202">
        <f t="shared" si="193"/>
        <v>1.0799658138555932</v>
      </c>
    </row>
    <row r="203" spans="1:6" x14ac:dyDescent="0.25">
      <c r="A203" t="str">
        <f t="shared" ref="A203" si="201">B203&amp;"_2"</f>
        <v>NHK_Mb_scramble2uL_2</v>
      </c>
      <c r="B203" t="s">
        <v>73</v>
      </c>
      <c r="C203">
        <v>2550354</v>
      </c>
      <c r="D203">
        <v>90</v>
      </c>
      <c r="E203">
        <v>2342657</v>
      </c>
      <c r="F203">
        <f t="shared" si="193"/>
        <v>1.0886587323709787</v>
      </c>
    </row>
    <row r="204" spans="1:6" x14ac:dyDescent="0.25">
      <c r="A204" t="str">
        <f t="shared" ref="A204" si="202">B204&amp;"_3"</f>
        <v>NHK_Mb_scramble2uL_3</v>
      </c>
      <c r="B204" t="s">
        <v>73</v>
      </c>
      <c r="C204">
        <v>2496902</v>
      </c>
      <c r="D204">
        <v>90</v>
      </c>
      <c r="E204">
        <v>2356472</v>
      </c>
      <c r="F204">
        <f t="shared" si="193"/>
        <v>1.059593324257619</v>
      </c>
    </row>
    <row r="205" spans="1:6" x14ac:dyDescent="0.25">
      <c r="A205" t="str">
        <f t="shared" ref="A205" si="203">B205&amp;"_4"</f>
        <v>NHK_Mb_scramble2uL_4</v>
      </c>
      <c r="B205" t="s">
        <v>73</v>
      </c>
      <c r="C205">
        <v>2507250</v>
      </c>
      <c r="D205">
        <v>90</v>
      </c>
      <c r="E205">
        <v>2338006</v>
      </c>
      <c r="F205">
        <f t="shared" si="193"/>
        <v>1.072388180355397</v>
      </c>
    </row>
    <row r="206" spans="1:6" x14ac:dyDescent="0.25">
      <c r="A206" t="str">
        <f t="shared" ref="A206" si="204">B206&amp;"_1"</f>
        <v>NHK_Mb_scramble2uL_1</v>
      </c>
      <c r="B206" t="s">
        <v>73</v>
      </c>
      <c r="C206">
        <v>2575752</v>
      </c>
      <c r="D206">
        <v>120</v>
      </c>
      <c r="E206">
        <v>2351830</v>
      </c>
      <c r="F206">
        <f t="shared" si="193"/>
        <v>1.0952118137790572</v>
      </c>
    </row>
    <row r="207" spans="1:6" x14ac:dyDescent="0.25">
      <c r="A207" t="str">
        <f t="shared" ref="A207" si="205">B207&amp;"_2"</f>
        <v>NHK_Mb_scramble2uL_2</v>
      </c>
      <c r="B207" t="s">
        <v>73</v>
      </c>
      <c r="C207">
        <v>2562716</v>
      </c>
      <c r="D207">
        <v>120</v>
      </c>
      <c r="E207">
        <v>2342657</v>
      </c>
      <c r="F207">
        <f t="shared" si="193"/>
        <v>1.0939356465756618</v>
      </c>
    </row>
    <row r="208" spans="1:6" x14ac:dyDescent="0.25">
      <c r="A208" t="str">
        <f t="shared" ref="A208" si="206">B208&amp;"_3"</f>
        <v>NHK_Mb_scramble2uL_3</v>
      </c>
      <c r="B208" t="s">
        <v>73</v>
      </c>
      <c r="C208">
        <v>2526421</v>
      </c>
      <c r="D208">
        <v>120</v>
      </c>
      <c r="E208">
        <v>2356472</v>
      </c>
      <c r="F208">
        <f t="shared" si="193"/>
        <v>1.0721201015755757</v>
      </c>
    </row>
    <row r="209" spans="1:6" x14ac:dyDescent="0.25">
      <c r="A209" t="str">
        <f t="shared" ref="A209" si="207">B209&amp;"_4"</f>
        <v>NHK_Mb_scramble2uL_4</v>
      </c>
      <c r="B209" t="s">
        <v>73</v>
      </c>
      <c r="C209">
        <v>2499650</v>
      </c>
      <c r="D209">
        <v>120</v>
      </c>
      <c r="E209">
        <v>2338006</v>
      </c>
      <c r="F209">
        <f t="shared" si="193"/>
        <v>1.069137547123489</v>
      </c>
    </row>
    <row r="210" spans="1:6" x14ac:dyDescent="0.25">
      <c r="A210" t="str">
        <f t="shared" ref="A210" si="208">B210&amp;"_1"</f>
        <v>NHK_Mb_scramble2uL_1</v>
      </c>
      <c r="B210" t="s">
        <v>73</v>
      </c>
      <c r="C210">
        <v>2603878</v>
      </c>
      <c r="D210">
        <v>150</v>
      </c>
      <c r="E210">
        <v>2351830</v>
      </c>
      <c r="F210">
        <f t="shared" si="193"/>
        <v>1.1071710115101856</v>
      </c>
    </row>
    <row r="211" spans="1:6" x14ac:dyDescent="0.25">
      <c r="A211" t="str">
        <f t="shared" ref="A211" si="209">B211&amp;"_2"</f>
        <v>NHK_Mb_scramble2uL_2</v>
      </c>
      <c r="B211" t="s">
        <v>73</v>
      </c>
      <c r="C211">
        <v>2579890</v>
      </c>
      <c r="D211">
        <v>150</v>
      </c>
      <c r="E211">
        <v>2342657</v>
      </c>
      <c r="F211">
        <f t="shared" si="193"/>
        <v>1.1012666386927323</v>
      </c>
    </row>
    <row r="212" spans="1:6" x14ac:dyDescent="0.25">
      <c r="A212" t="str">
        <f t="shared" ref="A212" si="210">B212&amp;"_3"</f>
        <v>NHK_Mb_scramble2uL_3</v>
      </c>
      <c r="B212" t="s">
        <v>73</v>
      </c>
      <c r="C212">
        <v>2559804</v>
      </c>
      <c r="D212">
        <v>150</v>
      </c>
      <c r="E212">
        <v>2356472</v>
      </c>
      <c r="F212">
        <f t="shared" si="193"/>
        <v>1.0862866183005782</v>
      </c>
    </row>
    <row r="213" spans="1:6" x14ac:dyDescent="0.25">
      <c r="A213" t="str">
        <f t="shared" ref="A213" si="211">B213&amp;"_4"</f>
        <v>NHK_Mb_scramble2uL_4</v>
      </c>
      <c r="B213" t="s">
        <v>73</v>
      </c>
      <c r="C213">
        <v>2531808</v>
      </c>
      <c r="D213">
        <v>150</v>
      </c>
      <c r="E213">
        <v>2338006</v>
      </c>
      <c r="F213">
        <f t="shared" si="193"/>
        <v>1.0828920028434486</v>
      </c>
    </row>
    <row r="214" spans="1:6" x14ac:dyDescent="0.25">
      <c r="A214" t="str">
        <f t="shared" ref="A214" si="212">B214&amp;"_1"</f>
        <v>NHK_Mb_scramble2uL_1</v>
      </c>
      <c r="B214" t="s">
        <v>73</v>
      </c>
      <c r="C214">
        <v>2644553</v>
      </c>
      <c r="D214">
        <v>180</v>
      </c>
      <c r="E214">
        <v>2351830</v>
      </c>
      <c r="F214">
        <f t="shared" si="193"/>
        <v>1.1244660540940459</v>
      </c>
    </row>
    <row r="215" spans="1:6" x14ac:dyDescent="0.25">
      <c r="A215" t="str">
        <f t="shared" ref="A215" si="213">B215&amp;"_2"</f>
        <v>NHK_Mb_scramble2uL_2</v>
      </c>
      <c r="B215" t="s">
        <v>73</v>
      </c>
      <c r="C215">
        <v>2620743</v>
      </c>
      <c r="D215">
        <v>180</v>
      </c>
      <c r="E215">
        <v>2342657</v>
      </c>
      <c r="F215">
        <f t="shared" si="193"/>
        <v>1.1187053845270563</v>
      </c>
    </row>
    <row r="216" spans="1:6" x14ac:dyDescent="0.25">
      <c r="A216" t="str">
        <f t="shared" ref="A216" si="214">B216&amp;"_3"</f>
        <v>NHK_Mb_scramble2uL_3</v>
      </c>
      <c r="B216" t="s">
        <v>73</v>
      </c>
      <c r="C216">
        <v>2570281</v>
      </c>
      <c r="D216">
        <v>180</v>
      </c>
      <c r="E216">
        <v>2356472</v>
      </c>
      <c r="F216">
        <f t="shared" si="193"/>
        <v>1.0907326715530674</v>
      </c>
    </row>
    <row r="217" spans="1:6" x14ac:dyDescent="0.25">
      <c r="A217" t="str">
        <f t="shared" ref="A217" si="215">B217&amp;"_4"</f>
        <v>NHK_Mb_scramble2uL_4</v>
      </c>
      <c r="B217" t="s">
        <v>73</v>
      </c>
      <c r="C217">
        <v>2556647</v>
      </c>
      <c r="D217">
        <v>180</v>
      </c>
      <c r="E217">
        <v>2338006</v>
      </c>
      <c r="F217">
        <f t="shared" si="193"/>
        <v>1.0935160132181012</v>
      </c>
    </row>
    <row r="218" spans="1:6" x14ac:dyDescent="0.25">
      <c r="A218" t="str">
        <f t="shared" ref="A218" si="216">B218&amp;"_1"</f>
        <v>NHK_Mb_scramble4uL_1</v>
      </c>
      <c r="B218" t="s">
        <v>74</v>
      </c>
      <c r="C218">
        <v>2323682</v>
      </c>
      <c r="D218">
        <v>2</v>
      </c>
      <c r="E218">
        <v>2323682</v>
      </c>
      <c r="F218">
        <f t="shared" si="193"/>
        <v>1</v>
      </c>
    </row>
    <row r="219" spans="1:6" x14ac:dyDescent="0.25">
      <c r="A219" t="str">
        <f t="shared" ref="A219" si="217">B219&amp;"_2"</f>
        <v>NHK_Mb_scramble4uL_2</v>
      </c>
      <c r="B219" t="s">
        <v>74</v>
      </c>
      <c r="C219">
        <v>2316518</v>
      </c>
      <c r="D219">
        <v>2</v>
      </c>
      <c r="E219">
        <v>2316518</v>
      </c>
      <c r="F219">
        <f t="shared" si="193"/>
        <v>1</v>
      </c>
    </row>
    <row r="220" spans="1:6" x14ac:dyDescent="0.25">
      <c r="A220" t="str">
        <f t="shared" ref="A220" si="218">B220&amp;"_3"</f>
        <v>NHK_Mb_scramble4uL_3</v>
      </c>
      <c r="B220" t="s">
        <v>74</v>
      </c>
      <c r="C220">
        <v>2309147</v>
      </c>
      <c r="D220">
        <v>2</v>
      </c>
      <c r="E220">
        <v>2309147</v>
      </c>
      <c r="F220">
        <f t="shared" si="193"/>
        <v>1</v>
      </c>
    </row>
    <row r="221" spans="1:6" x14ac:dyDescent="0.25">
      <c r="A221" t="str">
        <f t="shared" ref="A221" si="219">B221&amp;"_4"</f>
        <v>NHK_Mb_scramble4uL_4</v>
      </c>
      <c r="B221" t="s">
        <v>74</v>
      </c>
      <c r="C221">
        <v>2325286</v>
      </c>
      <c r="D221">
        <v>2</v>
      </c>
      <c r="E221">
        <v>2325286</v>
      </c>
      <c r="F221">
        <f t="shared" si="193"/>
        <v>1</v>
      </c>
    </row>
    <row r="222" spans="1:6" x14ac:dyDescent="0.25">
      <c r="A222" t="str">
        <f t="shared" ref="A222" si="220">B222&amp;"_1"</f>
        <v>NHK_Mb_scramble4uL_1</v>
      </c>
      <c r="B222" t="s">
        <v>74</v>
      </c>
      <c r="C222">
        <v>2274489</v>
      </c>
      <c r="D222">
        <v>10</v>
      </c>
      <c r="E222">
        <v>2323682</v>
      </c>
      <c r="F222">
        <f t="shared" si="193"/>
        <v>0.97882971938501051</v>
      </c>
    </row>
    <row r="223" spans="1:6" x14ac:dyDescent="0.25">
      <c r="A223" t="str">
        <f t="shared" ref="A223" si="221">B223&amp;"_2"</f>
        <v>NHK_Mb_scramble4uL_2</v>
      </c>
      <c r="B223" t="s">
        <v>74</v>
      </c>
      <c r="C223">
        <v>2269982</v>
      </c>
      <c r="D223">
        <v>10</v>
      </c>
      <c r="E223">
        <v>2316518</v>
      </c>
      <c r="F223">
        <f t="shared" si="193"/>
        <v>0.97991122883569215</v>
      </c>
    </row>
    <row r="224" spans="1:6" x14ac:dyDescent="0.25">
      <c r="A224" t="str">
        <f t="shared" ref="A224" si="222">B224&amp;"_3"</f>
        <v>NHK_Mb_scramble4uL_3</v>
      </c>
      <c r="B224" t="s">
        <v>74</v>
      </c>
      <c r="C224">
        <v>2274111</v>
      </c>
      <c r="D224">
        <v>10</v>
      </c>
      <c r="E224">
        <v>2309147</v>
      </c>
      <c r="F224">
        <f t="shared" si="193"/>
        <v>0.98482729769910704</v>
      </c>
    </row>
    <row r="225" spans="1:6" x14ac:dyDescent="0.25">
      <c r="A225" t="str">
        <f t="shared" ref="A225" si="223">B225&amp;"_4"</f>
        <v>NHK_Mb_scramble4uL_4</v>
      </c>
      <c r="B225" t="s">
        <v>74</v>
      </c>
      <c r="C225">
        <v>2278157</v>
      </c>
      <c r="D225">
        <v>10</v>
      </c>
      <c r="E225">
        <v>2325286</v>
      </c>
      <c r="F225">
        <f t="shared" si="193"/>
        <v>0.9797319555529943</v>
      </c>
    </row>
    <row r="226" spans="1:6" x14ac:dyDescent="0.25">
      <c r="A226" t="str">
        <f t="shared" ref="A226" si="224">B226&amp;"_1"</f>
        <v>NHK_Mb_scramble4uL_1</v>
      </c>
      <c r="B226" t="s">
        <v>74</v>
      </c>
      <c r="C226">
        <v>2317943</v>
      </c>
      <c r="D226">
        <v>20</v>
      </c>
      <c r="E226">
        <v>2323682</v>
      </c>
      <c r="F226">
        <f t="shared" si="193"/>
        <v>0.9975302128260235</v>
      </c>
    </row>
    <row r="227" spans="1:6" x14ac:dyDescent="0.25">
      <c r="A227" t="str">
        <f t="shared" ref="A227" si="225">B227&amp;"_2"</f>
        <v>NHK_Mb_scramble4uL_2</v>
      </c>
      <c r="B227" t="s">
        <v>74</v>
      </c>
      <c r="C227">
        <v>2330917</v>
      </c>
      <c r="D227">
        <v>20</v>
      </c>
      <c r="E227">
        <v>2316518</v>
      </c>
      <c r="F227">
        <f t="shared" si="193"/>
        <v>1.0062157945675363</v>
      </c>
    </row>
    <row r="228" spans="1:6" x14ac:dyDescent="0.25">
      <c r="A228" t="str">
        <f t="shared" ref="A228" si="226">B228&amp;"_3"</f>
        <v>NHK_Mb_scramble4uL_3</v>
      </c>
      <c r="B228" t="s">
        <v>74</v>
      </c>
      <c r="C228">
        <v>2343041</v>
      </c>
      <c r="D228">
        <v>20</v>
      </c>
      <c r="E228">
        <v>2309147</v>
      </c>
      <c r="F228">
        <f t="shared" si="193"/>
        <v>1.01467814738516</v>
      </c>
    </row>
    <row r="229" spans="1:6" x14ac:dyDescent="0.25">
      <c r="A229" t="str">
        <f t="shared" ref="A229" si="227">B229&amp;"_4"</f>
        <v>NHK_Mb_scramble4uL_4</v>
      </c>
      <c r="B229" t="s">
        <v>74</v>
      </c>
      <c r="C229">
        <v>2330666</v>
      </c>
      <c r="D229">
        <v>20</v>
      </c>
      <c r="E229">
        <v>2325286</v>
      </c>
      <c r="F229">
        <f t="shared" si="193"/>
        <v>1.0023136938853974</v>
      </c>
    </row>
    <row r="230" spans="1:6" x14ac:dyDescent="0.25">
      <c r="A230" t="str">
        <f t="shared" ref="A230" si="228">B230&amp;"_1"</f>
        <v>NHK_Mb_scramble4uL_1</v>
      </c>
      <c r="B230" t="s">
        <v>74</v>
      </c>
      <c r="C230">
        <v>2360205</v>
      </c>
      <c r="D230">
        <v>30</v>
      </c>
      <c r="E230">
        <v>2323682</v>
      </c>
      <c r="F230">
        <f t="shared" si="193"/>
        <v>1.0157177272965923</v>
      </c>
    </row>
    <row r="231" spans="1:6" x14ac:dyDescent="0.25">
      <c r="A231" t="str">
        <f t="shared" ref="A231" si="229">B231&amp;"_2"</f>
        <v>NHK_Mb_scramble4uL_2</v>
      </c>
      <c r="B231" t="s">
        <v>74</v>
      </c>
      <c r="C231">
        <v>2371144</v>
      </c>
      <c r="D231">
        <v>30</v>
      </c>
      <c r="E231">
        <v>2316518</v>
      </c>
      <c r="F231">
        <f t="shared" si="193"/>
        <v>1.0235810816061002</v>
      </c>
    </row>
    <row r="232" spans="1:6" x14ac:dyDescent="0.25">
      <c r="A232" t="str">
        <f t="shared" ref="A232" si="230">B232&amp;"_3"</f>
        <v>NHK_Mb_scramble4uL_3</v>
      </c>
      <c r="B232" t="s">
        <v>74</v>
      </c>
      <c r="C232">
        <v>2386108</v>
      </c>
      <c r="D232">
        <v>30</v>
      </c>
      <c r="E232">
        <v>2309147</v>
      </c>
      <c r="F232">
        <f t="shared" si="193"/>
        <v>1.0333287573290051</v>
      </c>
    </row>
    <row r="233" spans="1:6" x14ac:dyDescent="0.25">
      <c r="A233" t="str">
        <f t="shared" ref="A233" si="231">B233&amp;"_4"</f>
        <v>NHK_Mb_scramble4uL_4</v>
      </c>
      <c r="B233" t="s">
        <v>74</v>
      </c>
      <c r="C233">
        <v>2391275</v>
      </c>
      <c r="D233">
        <v>30</v>
      </c>
      <c r="E233">
        <v>2325286</v>
      </c>
      <c r="F233">
        <f t="shared" si="193"/>
        <v>1.0283788746846625</v>
      </c>
    </row>
    <row r="234" spans="1:6" x14ac:dyDescent="0.25">
      <c r="A234" t="str">
        <f t="shared" ref="A234" si="232">B234&amp;"_1"</f>
        <v>NHK_Mb_scramble4uL_1</v>
      </c>
      <c r="B234" t="s">
        <v>74</v>
      </c>
      <c r="C234">
        <v>2471943</v>
      </c>
      <c r="D234">
        <v>60</v>
      </c>
      <c r="E234">
        <v>2323682</v>
      </c>
      <c r="F234">
        <f t="shared" si="193"/>
        <v>1.0638043415579239</v>
      </c>
    </row>
    <row r="235" spans="1:6" x14ac:dyDescent="0.25">
      <c r="A235" t="str">
        <f t="shared" ref="A235" si="233">B235&amp;"_2"</f>
        <v>NHK_Mb_scramble4uL_2</v>
      </c>
      <c r="B235" t="s">
        <v>74</v>
      </c>
      <c r="C235">
        <v>2462795</v>
      </c>
      <c r="D235">
        <v>60</v>
      </c>
      <c r="E235">
        <v>2316518</v>
      </c>
      <c r="F235">
        <f t="shared" si="193"/>
        <v>1.0631452032749151</v>
      </c>
    </row>
    <row r="236" spans="1:6" x14ac:dyDescent="0.25">
      <c r="A236" t="str">
        <f t="shared" ref="A236" si="234">B236&amp;"_3"</f>
        <v>NHK_Mb_scramble4uL_3</v>
      </c>
      <c r="B236" t="s">
        <v>74</v>
      </c>
      <c r="C236">
        <v>2459932</v>
      </c>
      <c r="D236">
        <v>60</v>
      </c>
      <c r="E236">
        <v>2309147</v>
      </c>
      <c r="F236">
        <f t="shared" si="193"/>
        <v>1.0652990043509574</v>
      </c>
    </row>
    <row r="237" spans="1:6" x14ac:dyDescent="0.25">
      <c r="A237" t="str">
        <f t="shared" ref="A237" si="235">B237&amp;"_4"</f>
        <v>NHK_Mb_scramble4uL_4</v>
      </c>
      <c r="B237" t="s">
        <v>74</v>
      </c>
      <c r="C237">
        <v>2472645</v>
      </c>
      <c r="D237">
        <v>60</v>
      </c>
      <c r="E237">
        <v>2325286</v>
      </c>
      <c r="F237">
        <f t="shared" si="193"/>
        <v>1.0633724195647332</v>
      </c>
    </row>
    <row r="238" spans="1:6" x14ac:dyDescent="0.25">
      <c r="A238" t="str">
        <f t="shared" ref="A238" si="236">B238&amp;"_1"</f>
        <v>NHK_Mb_scramble4uL_1</v>
      </c>
      <c r="B238" t="s">
        <v>74</v>
      </c>
      <c r="C238">
        <v>2530103</v>
      </c>
      <c r="D238">
        <v>90</v>
      </c>
      <c r="E238">
        <v>2323682</v>
      </c>
      <c r="F238">
        <f t="shared" si="193"/>
        <v>1.0888335839413483</v>
      </c>
    </row>
    <row r="239" spans="1:6" x14ac:dyDescent="0.25">
      <c r="A239" t="str">
        <f t="shared" ref="A239" si="237">B239&amp;"_2"</f>
        <v>NHK_Mb_scramble4uL_2</v>
      </c>
      <c r="B239" t="s">
        <v>74</v>
      </c>
      <c r="C239">
        <v>2491723</v>
      </c>
      <c r="D239">
        <v>90</v>
      </c>
      <c r="E239">
        <v>2316518</v>
      </c>
      <c r="F239">
        <f t="shared" si="193"/>
        <v>1.0756329111191885</v>
      </c>
    </row>
    <row r="240" spans="1:6" x14ac:dyDescent="0.25">
      <c r="A240" t="str">
        <f t="shared" ref="A240" si="238">B240&amp;"_3"</f>
        <v>NHK_Mb_scramble4uL_3</v>
      </c>
      <c r="B240" t="s">
        <v>74</v>
      </c>
      <c r="C240">
        <v>2517820</v>
      </c>
      <c r="D240">
        <v>90</v>
      </c>
      <c r="E240">
        <v>2309147</v>
      </c>
      <c r="F240">
        <f t="shared" si="193"/>
        <v>1.0903680016906676</v>
      </c>
    </row>
    <row r="241" spans="1:6" x14ac:dyDescent="0.25">
      <c r="A241" t="str">
        <f t="shared" ref="A241" si="239">B241&amp;"_4"</f>
        <v>NHK_Mb_scramble4uL_4</v>
      </c>
      <c r="B241" t="s">
        <v>74</v>
      </c>
      <c r="C241">
        <v>2513575</v>
      </c>
      <c r="D241">
        <v>90</v>
      </c>
      <c r="E241">
        <v>2325286</v>
      </c>
      <c r="F241">
        <f t="shared" si="193"/>
        <v>1.0809745553880254</v>
      </c>
    </row>
    <row r="242" spans="1:6" x14ac:dyDescent="0.25">
      <c r="A242" t="str">
        <f t="shared" ref="A242" si="240">B242&amp;"_1"</f>
        <v>NHK_Mb_scramble4uL_1</v>
      </c>
      <c r="B242" t="s">
        <v>74</v>
      </c>
      <c r="C242">
        <v>2561102</v>
      </c>
      <c r="D242">
        <v>120</v>
      </c>
      <c r="E242">
        <v>2323682</v>
      </c>
      <c r="F242">
        <f t="shared" si="193"/>
        <v>1.1021740496332975</v>
      </c>
    </row>
    <row r="243" spans="1:6" x14ac:dyDescent="0.25">
      <c r="A243" t="str">
        <f t="shared" ref="A243" si="241">B243&amp;"_2"</f>
        <v>NHK_Mb_scramble4uL_2</v>
      </c>
      <c r="B243" t="s">
        <v>74</v>
      </c>
      <c r="C243">
        <v>2530236</v>
      </c>
      <c r="D243">
        <v>120</v>
      </c>
      <c r="E243">
        <v>2316518</v>
      </c>
      <c r="F243">
        <f t="shared" si="193"/>
        <v>1.092258294561061</v>
      </c>
    </row>
    <row r="244" spans="1:6" x14ac:dyDescent="0.25">
      <c r="A244" t="str">
        <f t="shared" ref="A244" si="242">B244&amp;"_3"</f>
        <v>NHK_Mb_scramble4uL_3</v>
      </c>
      <c r="B244" t="s">
        <v>74</v>
      </c>
      <c r="C244">
        <v>2527321</v>
      </c>
      <c r="D244">
        <v>120</v>
      </c>
      <c r="E244">
        <v>2309147</v>
      </c>
      <c r="F244">
        <f t="shared" si="193"/>
        <v>1.0944825080430134</v>
      </c>
    </row>
    <row r="245" spans="1:6" x14ac:dyDescent="0.25">
      <c r="A245" t="str">
        <f t="shared" ref="A245" si="243">B245&amp;"_4"</f>
        <v>NHK_Mb_scramble4uL_4</v>
      </c>
      <c r="B245" t="s">
        <v>74</v>
      </c>
      <c r="C245">
        <v>2530041</v>
      </c>
      <c r="D245">
        <v>120</v>
      </c>
      <c r="E245">
        <v>2325286</v>
      </c>
      <c r="F245">
        <f t="shared" si="193"/>
        <v>1.088055834852143</v>
      </c>
    </row>
    <row r="246" spans="1:6" x14ac:dyDescent="0.25">
      <c r="A246" t="str">
        <f t="shared" ref="A246" si="244">B246&amp;"_1"</f>
        <v>NHK_Mb_scramble4uL_1</v>
      </c>
      <c r="B246" t="s">
        <v>74</v>
      </c>
      <c r="C246">
        <v>2576055</v>
      </c>
      <c r="D246">
        <v>150</v>
      </c>
      <c r="E246">
        <v>2323682</v>
      </c>
      <c r="F246">
        <f t="shared" si="193"/>
        <v>1.1086090953925709</v>
      </c>
    </row>
    <row r="247" spans="1:6" x14ac:dyDescent="0.25">
      <c r="A247" t="str">
        <f t="shared" ref="A247" si="245">B247&amp;"_2"</f>
        <v>NHK_Mb_scramble4uL_2</v>
      </c>
      <c r="B247" t="s">
        <v>74</v>
      </c>
      <c r="C247">
        <v>2560347</v>
      </c>
      <c r="D247">
        <v>150</v>
      </c>
      <c r="E247">
        <v>2316518</v>
      </c>
      <c r="F247">
        <f t="shared" si="193"/>
        <v>1.1052566826590597</v>
      </c>
    </row>
    <row r="248" spans="1:6" x14ac:dyDescent="0.25">
      <c r="A248" t="str">
        <f t="shared" ref="A248" si="246">B248&amp;"_3"</f>
        <v>NHK_Mb_scramble4uL_3</v>
      </c>
      <c r="B248" t="s">
        <v>74</v>
      </c>
      <c r="C248">
        <v>2558701</v>
      </c>
      <c r="D248">
        <v>150</v>
      </c>
      <c r="E248">
        <v>2309147</v>
      </c>
      <c r="F248">
        <f t="shared" si="193"/>
        <v>1.1080719417170064</v>
      </c>
    </row>
    <row r="249" spans="1:6" x14ac:dyDescent="0.25">
      <c r="A249" t="str">
        <f t="shared" ref="A249" si="247">B249&amp;"_4"</f>
        <v>NHK_Mb_scramble4uL_4</v>
      </c>
      <c r="B249" t="s">
        <v>74</v>
      </c>
      <c r="C249">
        <v>2541145</v>
      </c>
      <c r="D249">
        <v>150</v>
      </c>
      <c r="E249">
        <v>2325286</v>
      </c>
      <c r="F249">
        <f t="shared" si="193"/>
        <v>1.0928311614141228</v>
      </c>
    </row>
    <row r="250" spans="1:6" x14ac:dyDescent="0.25">
      <c r="A250" t="str">
        <f t="shared" ref="A250" si="248">B250&amp;"_1"</f>
        <v>NHK_Mb_scramble4uL_1</v>
      </c>
      <c r="B250" t="s">
        <v>74</v>
      </c>
      <c r="C250">
        <v>2582226</v>
      </c>
      <c r="D250">
        <v>180</v>
      </c>
      <c r="E250">
        <v>2323682</v>
      </c>
      <c r="F250">
        <f t="shared" si="193"/>
        <v>1.111264794408185</v>
      </c>
    </row>
    <row r="251" spans="1:6" x14ac:dyDescent="0.25">
      <c r="A251" t="str">
        <f t="shared" ref="A251" si="249">B251&amp;"_2"</f>
        <v>NHK_Mb_scramble4uL_2</v>
      </c>
      <c r="B251" t="s">
        <v>74</v>
      </c>
      <c r="C251">
        <v>2592091</v>
      </c>
      <c r="D251">
        <v>180</v>
      </c>
      <c r="E251">
        <v>2316518</v>
      </c>
      <c r="F251">
        <f t="shared" si="193"/>
        <v>1.1189600080810942</v>
      </c>
    </row>
    <row r="252" spans="1:6" x14ac:dyDescent="0.25">
      <c r="A252" t="str">
        <f t="shared" ref="A252" si="250">B252&amp;"_3"</f>
        <v>NHK_Mb_scramble4uL_3</v>
      </c>
      <c r="B252" t="s">
        <v>74</v>
      </c>
      <c r="C252">
        <v>2579525</v>
      </c>
      <c r="D252">
        <v>180</v>
      </c>
      <c r="E252">
        <v>2309147</v>
      </c>
      <c r="F252">
        <f t="shared" si="193"/>
        <v>1.1170899903730684</v>
      </c>
    </row>
    <row r="253" spans="1:6" x14ac:dyDescent="0.25">
      <c r="A253" t="str">
        <f t="shared" ref="A253" si="251">B253&amp;"_4"</f>
        <v>NHK_Mb_scramble4uL_4</v>
      </c>
      <c r="B253" t="s">
        <v>74</v>
      </c>
      <c r="C253">
        <v>2576595</v>
      </c>
      <c r="D253">
        <v>180</v>
      </c>
      <c r="E253">
        <v>2325286</v>
      </c>
      <c r="F253">
        <f t="shared" si="193"/>
        <v>1.108076597889464</v>
      </c>
    </row>
    <row r="254" spans="1:6" x14ac:dyDescent="0.25">
      <c r="A254" t="str">
        <f t="shared" ref="A254" si="252">B254&amp;"_1"</f>
        <v>NHK_Mb_scramble8uL_1</v>
      </c>
      <c r="B254" t="s">
        <v>75</v>
      </c>
      <c r="C254">
        <v>2290718</v>
      </c>
      <c r="D254">
        <v>2</v>
      </c>
      <c r="E254">
        <v>2290718</v>
      </c>
      <c r="F254">
        <f t="shared" si="193"/>
        <v>1</v>
      </c>
    </row>
    <row r="255" spans="1:6" x14ac:dyDescent="0.25">
      <c r="A255" t="str">
        <f t="shared" ref="A255" si="253">B255&amp;"_2"</f>
        <v>NHK_Mb_scramble8uL_2</v>
      </c>
      <c r="B255" t="s">
        <v>75</v>
      </c>
      <c r="C255">
        <v>2284002</v>
      </c>
      <c r="D255">
        <v>2</v>
      </c>
      <c r="E255">
        <v>2284002</v>
      </c>
      <c r="F255">
        <f t="shared" si="193"/>
        <v>1</v>
      </c>
    </row>
    <row r="256" spans="1:6" x14ac:dyDescent="0.25">
      <c r="A256" t="str">
        <f t="shared" ref="A256" si="254">B256&amp;"_3"</f>
        <v>NHK_Mb_scramble8uL_3</v>
      </c>
      <c r="B256" t="s">
        <v>75</v>
      </c>
      <c r="C256">
        <v>2288939</v>
      </c>
      <c r="D256">
        <v>2</v>
      </c>
      <c r="E256">
        <v>2288939</v>
      </c>
      <c r="F256">
        <f t="shared" si="193"/>
        <v>1</v>
      </c>
    </row>
    <row r="257" spans="1:6" x14ac:dyDescent="0.25">
      <c r="A257" t="str">
        <f t="shared" ref="A257" si="255">B257&amp;"_4"</f>
        <v>NHK_Mb_scramble8uL_4</v>
      </c>
      <c r="B257" t="s">
        <v>75</v>
      </c>
      <c r="C257">
        <v>2297492</v>
      </c>
      <c r="D257">
        <v>2</v>
      </c>
      <c r="E257">
        <v>2297492</v>
      </c>
      <c r="F257">
        <f t="shared" si="193"/>
        <v>1</v>
      </c>
    </row>
    <row r="258" spans="1:6" x14ac:dyDescent="0.25">
      <c r="A258" t="str">
        <f t="shared" ref="A258" si="256">B258&amp;"_1"</f>
        <v>NHK_Mb_scramble8uL_1</v>
      </c>
      <c r="B258" t="s">
        <v>75</v>
      </c>
      <c r="C258">
        <v>2270952</v>
      </c>
      <c r="D258">
        <v>10</v>
      </c>
      <c r="E258">
        <v>2290718</v>
      </c>
      <c r="F258">
        <f t="shared" si="193"/>
        <v>0.9913712643808622</v>
      </c>
    </row>
    <row r="259" spans="1:6" x14ac:dyDescent="0.25">
      <c r="A259" t="str">
        <f t="shared" ref="A259" si="257">B259&amp;"_2"</f>
        <v>NHK_Mb_scramble8uL_2</v>
      </c>
      <c r="B259" t="s">
        <v>75</v>
      </c>
      <c r="C259">
        <v>2247125</v>
      </c>
      <c r="D259">
        <v>10</v>
      </c>
      <c r="E259">
        <v>2284002</v>
      </c>
      <c r="F259">
        <f t="shared" ref="F259:F322" si="258">C259/E259</f>
        <v>0.9838542172905278</v>
      </c>
    </row>
    <row r="260" spans="1:6" x14ac:dyDescent="0.25">
      <c r="A260" t="str">
        <f t="shared" ref="A260" si="259">B260&amp;"_3"</f>
        <v>NHK_Mb_scramble8uL_3</v>
      </c>
      <c r="B260" t="s">
        <v>75</v>
      </c>
      <c r="C260">
        <v>2251049</v>
      </c>
      <c r="D260">
        <v>10</v>
      </c>
      <c r="E260">
        <v>2288939</v>
      </c>
      <c r="F260">
        <f t="shared" si="258"/>
        <v>0.98344647891446646</v>
      </c>
    </row>
    <row r="261" spans="1:6" x14ac:dyDescent="0.25">
      <c r="A261" t="str">
        <f t="shared" ref="A261" si="260">B261&amp;"_4"</f>
        <v>NHK_Mb_scramble8uL_4</v>
      </c>
      <c r="B261" t="s">
        <v>75</v>
      </c>
      <c r="C261">
        <v>2265782</v>
      </c>
      <c r="D261">
        <v>10</v>
      </c>
      <c r="E261">
        <v>2297492</v>
      </c>
      <c r="F261">
        <f t="shared" si="258"/>
        <v>0.98619799329007451</v>
      </c>
    </row>
    <row r="262" spans="1:6" x14ac:dyDescent="0.25">
      <c r="A262" t="str">
        <f t="shared" ref="A262" si="261">B262&amp;"_1"</f>
        <v>NHK_Mb_scramble8uL_1</v>
      </c>
      <c r="B262" t="s">
        <v>75</v>
      </c>
      <c r="C262">
        <v>2319247</v>
      </c>
      <c r="D262">
        <v>20</v>
      </c>
      <c r="E262">
        <v>2290718</v>
      </c>
      <c r="F262">
        <f t="shared" si="258"/>
        <v>1.0124541737568744</v>
      </c>
    </row>
    <row r="263" spans="1:6" x14ac:dyDescent="0.25">
      <c r="A263" t="str">
        <f t="shared" ref="A263" si="262">B263&amp;"_2"</f>
        <v>NHK_Mb_scramble8uL_2</v>
      </c>
      <c r="B263" t="s">
        <v>75</v>
      </c>
      <c r="C263">
        <v>2289627</v>
      </c>
      <c r="D263">
        <v>20</v>
      </c>
      <c r="E263">
        <v>2284002</v>
      </c>
      <c r="F263">
        <f t="shared" si="258"/>
        <v>1.0024627824318892</v>
      </c>
    </row>
    <row r="264" spans="1:6" x14ac:dyDescent="0.25">
      <c r="A264" t="str">
        <f t="shared" ref="A264" si="263">B264&amp;"_3"</f>
        <v>NHK_Mb_scramble8uL_3</v>
      </c>
      <c r="B264" t="s">
        <v>75</v>
      </c>
      <c r="C264">
        <v>2312146</v>
      </c>
      <c r="D264">
        <v>20</v>
      </c>
      <c r="E264">
        <v>2288939</v>
      </c>
      <c r="F264">
        <f t="shared" si="258"/>
        <v>1.0101387586126149</v>
      </c>
    </row>
    <row r="265" spans="1:6" x14ac:dyDescent="0.25">
      <c r="A265" t="str">
        <f t="shared" ref="A265" si="264">B265&amp;"_4"</f>
        <v>NHK_Mb_scramble8uL_4</v>
      </c>
      <c r="B265" t="s">
        <v>75</v>
      </c>
      <c r="C265">
        <v>2312813</v>
      </c>
      <c r="D265">
        <v>20</v>
      </c>
      <c r="E265">
        <v>2297492</v>
      </c>
      <c r="F265">
        <f t="shared" si="258"/>
        <v>1.0066685759950416</v>
      </c>
    </row>
    <row r="266" spans="1:6" x14ac:dyDescent="0.25">
      <c r="A266" t="str">
        <f t="shared" ref="A266" si="265">B266&amp;"_1"</f>
        <v>NHK_Mb_scramble8uL_1</v>
      </c>
      <c r="B266" t="s">
        <v>75</v>
      </c>
      <c r="C266">
        <v>2388000</v>
      </c>
      <c r="D266">
        <v>30</v>
      </c>
      <c r="E266">
        <v>2290718</v>
      </c>
      <c r="F266">
        <f t="shared" si="258"/>
        <v>1.0424679074421208</v>
      </c>
    </row>
    <row r="267" spans="1:6" x14ac:dyDescent="0.25">
      <c r="A267" t="str">
        <f t="shared" ref="A267" si="266">B267&amp;"_2"</f>
        <v>NHK_Mb_scramble8uL_2</v>
      </c>
      <c r="B267" t="s">
        <v>75</v>
      </c>
      <c r="C267">
        <v>2352955</v>
      </c>
      <c r="D267">
        <v>30</v>
      </c>
      <c r="E267">
        <v>2284002</v>
      </c>
      <c r="F267">
        <f t="shared" si="258"/>
        <v>1.0301895532490777</v>
      </c>
    </row>
    <row r="268" spans="1:6" x14ac:dyDescent="0.25">
      <c r="A268" t="str">
        <f t="shared" ref="A268" si="267">B268&amp;"_3"</f>
        <v>NHK_Mb_scramble8uL_3</v>
      </c>
      <c r="B268" t="s">
        <v>75</v>
      </c>
      <c r="C268">
        <v>2370041</v>
      </c>
      <c r="D268">
        <v>30</v>
      </c>
      <c r="E268">
        <v>2288939</v>
      </c>
      <c r="F268">
        <f t="shared" si="258"/>
        <v>1.0354321368983621</v>
      </c>
    </row>
    <row r="269" spans="1:6" x14ac:dyDescent="0.25">
      <c r="A269" t="str">
        <f t="shared" ref="A269" si="268">B269&amp;"_4"</f>
        <v>NHK_Mb_scramble8uL_4</v>
      </c>
      <c r="B269" t="s">
        <v>75</v>
      </c>
      <c r="C269">
        <v>2373764</v>
      </c>
      <c r="D269">
        <v>30</v>
      </c>
      <c r="E269">
        <v>2297492</v>
      </c>
      <c r="F269">
        <f t="shared" si="258"/>
        <v>1.0331979393181783</v>
      </c>
    </row>
    <row r="270" spans="1:6" x14ac:dyDescent="0.25">
      <c r="A270" t="str">
        <f t="shared" ref="A270" si="269">B270&amp;"_1"</f>
        <v>NHK_Mb_scramble8uL_1</v>
      </c>
      <c r="B270" t="s">
        <v>75</v>
      </c>
      <c r="C270">
        <v>2457332</v>
      </c>
      <c r="D270">
        <v>60</v>
      </c>
      <c r="E270">
        <v>2290718</v>
      </c>
      <c r="F270">
        <f t="shared" si="258"/>
        <v>1.0727344003059303</v>
      </c>
    </row>
    <row r="271" spans="1:6" x14ac:dyDescent="0.25">
      <c r="A271" t="str">
        <f t="shared" ref="A271" si="270">B271&amp;"_2"</f>
        <v>NHK_Mb_scramble8uL_2</v>
      </c>
      <c r="B271" t="s">
        <v>75</v>
      </c>
      <c r="C271">
        <v>2429770</v>
      </c>
      <c r="D271">
        <v>60</v>
      </c>
      <c r="E271">
        <v>2284002</v>
      </c>
      <c r="F271">
        <f t="shared" si="258"/>
        <v>1.0638213101389578</v>
      </c>
    </row>
    <row r="272" spans="1:6" x14ac:dyDescent="0.25">
      <c r="A272" t="str">
        <f t="shared" ref="A272" si="271">B272&amp;"_3"</f>
        <v>NHK_Mb_scramble8uL_3</v>
      </c>
      <c r="B272" t="s">
        <v>75</v>
      </c>
      <c r="C272">
        <v>2451591</v>
      </c>
      <c r="D272">
        <v>60</v>
      </c>
      <c r="E272">
        <v>2288939</v>
      </c>
      <c r="F272">
        <f t="shared" si="258"/>
        <v>1.0710599976670414</v>
      </c>
    </row>
    <row r="273" spans="1:6" x14ac:dyDescent="0.25">
      <c r="A273" t="str">
        <f t="shared" ref="A273" si="272">B273&amp;"_4"</f>
        <v>NHK_Mb_scramble8uL_4</v>
      </c>
      <c r="B273" t="s">
        <v>75</v>
      </c>
      <c r="C273">
        <v>2442211</v>
      </c>
      <c r="D273">
        <v>60</v>
      </c>
      <c r="E273">
        <v>2297492</v>
      </c>
      <c r="F273">
        <f t="shared" si="258"/>
        <v>1.0629899908247775</v>
      </c>
    </row>
    <row r="274" spans="1:6" x14ac:dyDescent="0.25">
      <c r="A274" t="str">
        <f t="shared" ref="A274" si="273">B274&amp;"_1"</f>
        <v>NHK_Mb_scramble8uL_1</v>
      </c>
      <c r="B274" t="s">
        <v>75</v>
      </c>
      <c r="C274">
        <v>2520012</v>
      </c>
      <c r="D274">
        <v>90</v>
      </c>
      <c r="E274">
        <v>2290718</v>
      </c>
      <c r="F274">
        <f t="shared" si="258"/>
        <v>1.1000970001545367</v>
      </c>
    </row>
    <row r="275" spans="1:6" x14ac:dyDescent="0.25">
      <c r="A275" t="str">
        <f t="shared" ref="A275" si="274">B275&amp;"_2"</f>
        <v>NHK_Mb_scramble8uL_2</v>
      </c>
      <c r="B275" t="s">
        <v>75</v>
      </c>
      <c r="C275">
        <v>2473441</v>
      </c>
      <c r="D275">
        <v>90</v>
      </c>
      <c r="E275">
        <v>2284002</v>
      </c>
      <c r="F275">
        <f t="shared" si="258"/>
        <v>1.0829416961981644</v>
      </c>
    </row>
    <row r="276" spans="1:6" x14ac:dyDescent="0.25">
      <c r="A276" t="str">
        <f t="shared" ref="A276" si="275">B276&amp;"_3"</f>
        <v>NHK_Mb_scramble8uL_3</v>
      </c>
      <c r="B276" t="s">
        <v>75</v>
      </c>
      <c r="C276">
        <v>2500754</v>
      </c>
      <c r="D276">
        <v>90</v>
      </c>
      <c r="E276">
        <v>2288939</v>
      </c>
      <c r="F276">
        <f t="shared" si="258"/>
        <v>1.0925385080161594</v>
      </c>
    </row>
    <row r="277" spans="1:6" x14ac:dyDescent="0.25">
      <c r="A277" t="str">
        <f t="shared" ref="A277" si="276">B277&amp;"_4"</f>
        <v>NHK_Mb_scramble8uL_4</v>
      </c>
      <c r="B277" t="s">
        <v>75</v>
      </c>
      <c r="C277">
        <v>2485612</v>
      </c>
      <c r="D277">
        <v>90</v>
      </c>
      <c r="E277">
        <v>2297492</v>
      </c>
      <c r="F277">
        <f t="shared" si="258"/>
        <v>1.0818805897909547</v>
      </c>
    </row>
    <row r="278" spans="1:6" x14ac:dyDescent="0.25">
      <c r="A278" t="str">
        <f t="shared" ref="A278" si="277">B278&amp;"_1"</f>
        <v>NHK_Mb_scramble8uL_1</v>
      </c>
      <c r="B278" t="s">
        <v>75</v>
      </c>
      <c r="C278">
        <v>2540823</v>
      </c>
      <c r="D278">
        <v>120</v>
      </c>
      <c r="E278">
        <v>2290718</v>
      </c>
      <c r="F278">
        <f t="shared" si="258"/>
        <v>1.1091819246192678</v>
      </c>
    </row>
    <row r="279" spans="1:6" x14ac:dyDescent="0.25">
      <c r="A279" t="str">
        <f t="shared" ref="A279" si="278">B279&amp;"_2"</f>
        <v>NHK_Mb_scramble8uL_2</v>
      </c>
      <c r="B279" t="s">
        <v>75</v>
      </c>
      <c r="C279">
        <v>2502061</v>
      </c>
      <c r="D279">
        <v>120</v>
      </c>
      <c r="E279">
        <v>2284002</v>
      </c>
      <c r="F279">
        <f t="shared" si="258"/>
        <v>1.0954723332116172</v>
      </c>
    </row>
    <row r="280" spans="1:6" x14ac:dyDescent="0.25">
      <c r="A280" t="str">
        <f t="shared" ref="A280" si="279">B280&amp;"_3"</f>
        <v>NHK_Mb_scramble8uL_3</v>
      </c>
      <c r="B280" t="s">
        <v>75</v>
      </c>
      <c r="C280">
        <v>2530997</v>
      </c>
      <c r="D280">
        <v>120</v>
      </c>
      <c r="E280">
        <v>2288939</v>
      </c>
      <c r="F280">
        <f t="shared" si="258"/>
        <v>1.1057511799134883</v>
      </c>
    </row>
    <row r="281" spans="1:6" x14ac:dyDescent="0.25">
      <c r="A281" t="str">
        <f t="shared" ref="A281" si="280">B281&amp;"_4"</f>
        <v>NHK_Mb_scramble8uL_4</v>
      </c>
      <c r="B281" t="s">
        <v>75</v>
      </c>
      <c r="C281">
        <v>2511671</v>
      </c>
      <c r="D281">
        <v>120</v>
      </c>
      <c r="E281">
        <v>2297492</v>
      </c>
      <c r="F281">
        <f t="shared" si="258"/>
        <v>1.0932229579036619</v>
      </c>
    </row>
    <row r="282" spans="1:6" x14ac:dyDescent="0.25">
      <c r="A282" t="str">
        <f t="shared" ref="A282" si="281">B282&amp;"_1"</f>
        <v>NHK_Mb_scramble8uL_1</v>
      </c>
      <c r="B282" t="s">
        <v>75</v>
      </c>
      <c r="C282">
        <v>2576397</v>
      </c>
      <c r="D282">
        <v>150</v>
      </c>
      <c r="E282">
        <v>2290718</v>
      </c>
      <c r="F282">
        <f t="shared" si="258"/>
        <v>1.1247115533208365</v>
      </c>
    </row>
    <row r="283" spans="1:6" x14ac:dyDescent="0.25">
      <c r="A283" t="str">
        <f t="shared" ref="A283" si="282">B283&amp;"_2"</f>
        <v>NHK_Mb_scramble8uL_2</v>
      </c>
      <c r="B283" t="s">
        <v>75</v>
      </c>
      <c r="C283">
        <v>2545479</v>
      </c>
      <c r="D283">
        <v>150</v>
      </c>
      <c r="E283">
        <v>2284002</v>
      </c>
      <c r="F283">
        <f t="shared" si="258"/>
        <v>1.1144819487898872</v>
      </c>
    </row>
    <row r="284" spans="1:6" x14ac:dyDescent="0.25">
      <c r="A284" t="str">
        <f t="shared" ref="A284" si="283">B284&amp;"_3"</f>
        <v>NHK_Mb_scramble8uL_3</v>
      </c>
      <c r="B284" t="s">
        <v>75</v>
      </c>
      <c r="C284">
        <v>2542100</v>
      </c>
      <c r="D284">
        <v>150</v>
      </c>
      <c r="E284">
        <v>2288939</v>
      </c>
      <c r="F284">
        <f t="shared" si="258"/>
        <v>1.1106018989584256</v>
      </c>
    </row>
    <row r="285" spans="1:6" x14ac:dyDescent="0.25">
      <c r="A285" t="str">
        <f t="shared" ref="A285" si="284">B285&amp;"_4"</f>
        <v>NHK_Mb_scramble8uL_4</v>
      </c>
      <c r="B285" t="s">
        <v>75</v>
      </c>
      <c r="C285">
        <v>2534553</v>
      </c>
      <c r="D285">
        <v>150</v>
      </c>
      <c r="E285">
        <v>2297492</v>
      </c>
      <c r="F285">
        <f t="shared" si="258"/>
        <v>1.1031825138020066</v>
      </c>
    </row>
    <row r="286" spans="1:6" x14ac:dyDescent="0.25">
      <c r="A286" t="str">
        <f t="shared" ref="A286" si="285">B286&amp;"_1"</f>
        <v>NHK_Mb_scramble8uL_1</v>
      </c>
      <c r="B286" t="s">
        <v>75</v>
      </c>
      <c r="C286">
        <v>2607110</v>
      </c>
      <c r="D286">
        <v>180</v>
      </c>
      <c r="E286">
        <v>2290718</v>
      </c>
      <c r="F286">
        <f t="shared" si="258"/>
        <v>1.1381191399377837</v>
      </c>
    </row>
    <row r="287" spans="1:6" x14ac:dyDescent="0.25">
      <c r="A287" t="str">
        <f t="shared" ref="A287" si="286">B287&amp;"_2"</f>
        <v>NHK_Mb_scramble8uL_2</v>
      </c>
      <c r="B287" t="s">
        <v>75</v>
      </c>
      <c r="C287">
        <v>2567597</v>
      </c>
      <c r="D287">
        <v>180</v>
      </c>
      <c r="E287">
        <v>2284002</v>
      </c>
      <c r="F287">
        <f t="shared" si="258"/>
        <v>1.1241658282260698</v>
      </c>
    </row>
    <row r="288" spans="1:6" x14ac:dyDescent="0.25">
      <c r="A288" t="str">
        <f t="shared" ref="A288" si="287">B288&amp;"_3"</f>
        <v>NHK_Mb_scramble8uL_3</v>
      </c>
      <c r="B288" t="s">
        <v>75</v>
      </c>
      <c r="C288">
        <v>2567954</v>
      </c>
      <c r="D288">
        <v>180</v>
      </c>
      <c r="E288">
        <v>2288939</v>
      </c>
      <c r="F288">
        <f t="shared" si="258"/>
        <v>1.1218970885637407</v>
      </c>
    </row>
    <row r="289" spans="1:6" x14ac:dyDescent="0.25">
      <c r="A289" t="str">
        <f t="shared" ref="A289" si="288">B289&amp;"_4"</f>
        <v>NHK_Mb_scramble8uL_4</v>
      </c>
      <c r="B289" t="s">
        <v>75</v>
      </c>
      <c r="C289">
        <v>2581088</v>
      </c>
      <c r="D289">
        <v>180</v>
      </c>
      <c r="E289">
        <v>2297492</v>
      </c>
      <c r="F289">
        <f t="shared" si="258"/>
        <v>1.1234372089217286</v>
      </c>
    </row>
    <row r="290" spans="1:6" x14ac:dyDescent="0.25">
      <c r="A290" t="str">
        <f t="shared" ref="A290" si="289">B290&amp;"_1"</f>
        <v>NHK_Mb_siRNA16uL_1</v>
      </c>
      <c r="B290" t="s">
        <v>76</v>
      </c>
      <c r="C290">
        <v>2221690</v>
      </c>
      <c r="D290">
        <v>2</v>
      </c>
      <c r="E290">
        <v>2221690</v>
      </c>
      <c r="F290">
        <f t="shared" si="258"/>
        <v>1</v>
      </c>
    </row>
    <row r="291" spans="1:6" x14ac:dyDescent="0.25">
      <c r="A291" t="str">
        <f t="shared" ref="A291" si="290">B291&amp;"_2"</f>
        <v>NHK_Mb_siRNA16uL_2</v>
      </c>
      <c r="B291" t="s">
        <v>76</v>
      </c>
      <c r="C291">
        <v>2208487</v>
      </c>
      <c r="D291">
        <v>2</v>
      </c>
      <c r="E291">
        <v>2208487</v>
      </c>
      <c r="F291">
        <f t="shared" si="258"/>
        <v>1</v>
      </c>
    </row>
    <row r="292" spans="1:6" x14ac:dyDescent="0.25">
      <c r="A292" t="str">
        <f t="shared" ref="A292" si="291">B292&amp;"_3"</f>
        <v>NHK_Mb_siRNA16uL_3</v>
      </c>
      <c r="B292" t="s">
        <v>76</v>
      </c>
      <c r="C292">
        <v>2253049</v>
      </c>
      <c r="D292">
        <v>2</v>
      </c>
      <c r="E292">
        <v>2253049</v>
      </c>
      <c r="F292">
        <f t="shared" si="258"/>
        <v>1</v>
      </c>
    </row>
    <row r="293" spans="1:6" x14ac:dyDescent="0.25">
      <c r="A293" t="str">
        <f t="shared" ref="A293" si="292">B293&amp;"_4"</f>
        <v>NHK_Mb_siRNA16uL_4</v>
      </c>
      <c r="B293" t="s">
        <v>76</v>
      </c>
      <c r="C293">
        <v>2222317</v>
      </c>
      <c r="D293">
        <v>2</v>
      </c>
      <c r="E293">
        <v>2222317</v>
      </c>
      <c r="F293">
        <f t="shared" si="258"/>
        <v>1</v>
      </c>
    </row>
    <row r="294" spans="1:6" x14ac:dyDescent="0.25">
      <c r="A294" t="str">
        <f t="shared" ref="A294" si="293">B294&amp;"_1"</f>
        <v>NHK_Mb_siRNA16uL_1</v>
      </c>
      <c r="B294" t="s">
        <v>76</v>
      </c>
      <c r="C294">
        <v>2193316</v>
      </c>
      <c r="D294">
        <v>10</v>
      </c>
      <c r="E294">
        <v>2221690</v>
      </c>
      <c r="F294">
        <f t="shared" si="258"/>
        <v>0.98722864125958165</v>
      </c>
    </row>
    <row r="295" spans="1:6" x14ac:dyDescent="0.25">
      <c r="A295" t="str">
        <f t="shared" ref="A295" si="294">B295&amp;"_2"</f>
        <v>NHK_Mb_siRNA16uL_2</v>
      </c>
      <c r="B295" t="s">
        <v>76</v>
      </c>
      <c r="C295">
        <v>2180557</v>
      </c>
      <c r="D295">
        <v>10</v>
      </c>
      <c r="E295">
        <v>2208487</v>
      </c>
      <c r="F295">
        <f t="shared" si="258"/>
        <v>0.9873533328473294</v>
      </c>
    </row>
    <row r="296" spans="1:6" x14ac:dyDescent="0.25">
      <c r="A296" t="str">
        <f t="shared" ref="A296" si="295">B296&amp;"_3"</f>
        <v>NHK_Mb_siRNA16uL_3</v>
      </c>
      <c r="B296" t="s">
        <v>76</v>
      </c>
      <c r="C296">
        <v>2223490</v>
      </c>
      <c r="D296">
        <v>10</v>
      </c>
      <c r="E296">
        <v>2253049</v>
      </c>
      <c r="F296">
        <f t="shared" si="258"/>
        <v>0.98688044512125572</v>
      </c>
    </row>
    <row r="297" spans="1:6" x14ac:dyDescent="0.25">
      <c r="A297" t="str">
        <f t="shared" ref="A297" si="296">B297&amp;"_4"</f>
        <v>NHK_Mb_siRNA16uL_4</v>
      </c>
      <c r="B297" t="s">
        <v>76</v>
      </c>
      <c r="C297">
        <v>2201816</v>
      </c>
      <c r="D297">
        <v>10</v>
      </c>
      <c r="E297">
        <v>2222317</v>
      </c>
      <c r="F297">
        <f t="shared" si="258"/>
        <v>0.9907749434486619</v>
      </c>
    </row>
    <row r="298" spans="1:6" x14ac:dyDescent="0.25">
      <c r="A298" t="str">
        <f t="shared" ref="A298" si="297">B298&amp;"_1"</f>
        <v>NHK_Mb_siRNA16uL_1</v>
      </c>
      <c r="B298" t="s">
        <v>76</v>
      </c>
      <c r="C298">
        <v>2264670</v>
      </c>
      <c r="D298">
        <v>20</v>
      </c>
      <c r="E298">
        <v>2221690</v>
      </c>
      <c r="F298">
        <f t="shared" si="258"/>
        <v>1.0193456332791704</v>
      </c>
    </row>
    <row r="299" spans="1:6" x14ac:dyDescent="0.25">
      <c r="A299" t="str">
        <f t="shared" ref="A299" si="298">B299&amp;"_2"</f>
        <v>NHK_Mb_siRNA16uL_2</v>
      </c>
      <c r="B299" t="s">
        <v>76</v>
      </c>
      <c r="C299">
        <v>2262978</v>
      </c>
      <c r="D299">
        <v>20</v>
      </c>
      <c r="E299">
        <v>2208487</v>
      </c>
      <c r="F299">
        <f t="shared" si="258"/>
        <v>1.0246734529114276</v>
      </c>
    </row>
    <row r="300" spans="1:6" x14ac:dyDescent="0.25">
      <c r="A300" t="str">
        <f t="shared" ref="A300" si="299">B300&amp;"_3"</f>
        <v>NHK_Mb_siRNA16uL_3</v>
      </c>
      <c r="B300" t="s">
        <v>76</v>
      </c>
      <c r="C300">
        <v>2287889</v>
      </c>
      <c r="D300">
        <v>20</v>
      </c>
      <c r="E300">
        <v>2253049</v>
      </c>
      <c r="F300">
        <f t="shared" si="258"/>
        <v>1.0154634896977386</v>
      </c>
    </row>
    <row r="301" spans="1:6" x14ac:dyDescent="0.25">
      <c r="A301" t="str">
        <f t="shared" ref="A301" si="300">B301&amp;"_4"</f>
        <v>NHK_Mb_siRNA16uL_4</v>
      </c>
      <c r="B301" t="s">
        <v>76</v>
      </c>
      <c r="C301">
        <v>2271465</v>
      </c>
      <c r="D301">
        <v>20</v>
      </c>
      <c r="E301">
        <v>2222317</v>
      </c>
      <c r="F301">
        <f t="shared" si="258"/>
        <v>1.0221156567672389</v>
      </c>
    </row>
    <row r="302" spans="1:6" x14ac:dyDescent="0.25">
      <c r="A302" t="str">
        <f t="shared" ref="A302" si="301">B302&amp;"_1"</f>
        <v>NHK_Mb_siRNA16uL_1</v>
      </c>
      <c r="B302" t="s">
        <v>76</v>
      </c>
      <c r="C302">
        <v>2283447</v>
      </c>
      <c r="D302">
        <v>30</v>
      </c>
      <c r="E302">
        <v>2221690</v>
      </c>
      <c r="F302">
        <f t="shared" si="258"/>
        <v>1.0277973074551354</v>
      </c>
    </row>
    <row r="303" spans="1:6" x14ac:dyDescent="0.25">
      <c r="A303" t="str">
        <f t="shared" ref="A303" si="302">B303&amp;"_2"</f>
        <v>NHK_Mb_siRNA16uL_2</v>
      </c>
      <c r="B303" t="s">
        <v>76</v>
      </c>
      <c r="C303">
        <v>2302861</v>
      </c>
      <c r="D303">
        <v>30</v>
      </c>
      <c r="E303">
        <v>2208487</v>
      </c>
      <c r="F303">
        <f t="shared" si="258"/>
        <v>1.0427324226948131</v>
      </c>
    </row>
    <row r="304" spans="1:6" x14ac:dyDescent="0.25">
      <c r="A304" t="str">
        <f t="shared" ref="A304" si="303">B304&amp;"_3"</f>
        <v>NHK_Mb_siRNA16uL_3</v>
      </c>
      <c r="B304" t="s">
        <v>76</v>
      </c>
      <c r="C304">
        <v>2350186</v>
      </c>
      <c r="D304">
        <v>30</v>
      </c>
      <c r="E304">
        <v>2253049</v>
      </c>
      <c r="F304">
        <f t="shared" si="258"/>
        <v>1.0431135763136976</v>
      </c>
    </row>
    <row r="305" spans="1:6" x14ac:dyDescent="0.25">
      <c r="A305" t="str">
        <f t="shared" ref="A305" si="304">B305&amp;"_4"</f>
        <v>NHK_Mb_siRNA16uL_4</v>
      </c>
      <c r="B305" t="s">
        <v>76</v>
      </c>
      <c r="C305">
        <v>2324372</v>
      </c>
      <c r="D305">
        <v>30</v>
      </c>
      <c r="E305">
        <v>2222317</v>
      </c>
      <c r="F305">
        <f t="shared" si="258"/>
        <v>1.0459227913929472</v>
      </c>
    </row>
    <row r="306" spans="1:6" x14ac:dyDescent="0.25">
      <c r="A306" t="str">
        <f t="shared" ref="A306" si="305">B306&amp;"_1"</f>
        <v>NHK_Mb_siRNA16uL_1</v>
      </c>
      <c r="B306" t="s">
        <v>76</v>
      </c>
      <c r="C306">
        <v>2350661</v>
      </c>
      <c r="D306">
        <v>60</v>
      </c>
      <c r="E306">
        <v>2221690</v>
      </c>
      <c r="F306">
        <f t="shared" si="258"/>
        <v>1.0580508531793364</v>
      </c>
    </row>
    <row r="307" spans="1:6" x14ac:dyDescent="0.25">
      <c r="A307" t="str">
        <f t="shared" ref="A307" si="306">B307&amp;"_2"</f>
        <v>NHK_Mb_siRNA16uL_2</v>
      </c>
      <c r="B307" t="s">
        <v>76</v>
      </c>
      <c r="C307">
        <v>2366231</v>
      </c>
      <c r="D307">
        <v>60</v>
      </c>
      <c r="E307">
        <v>2208487</v>
      </c>
      <c r="F307">
        <f t="shared" si="258"/>
        <v>1.0714262750924048</v>
      </c>
    </row>
    <row r="308" spans="1:6" x14ac:dyDescent="0.25">
      <c r="A308" t="str">
        <f t="shared" ref="A308" si="307">B308&amp;"_3"</f>
        <v>NHK_Mb_siRNA16uL_3</v>
      </c>
      <c r="B308" t="s">
        <v>76</v>
      </c>
      <c r="C308">
        <v>2413006</v>
      </c>
      <c r="D308">
        <v>60</v>
      </c>
      <c r="E308">
        <v>2253049</v>
      </c>
      <c r="F308">
        <f t="shared" si="258"/>
        <v>1.0709957928123179</v>
      </c>
    </row>
    <row r="309" spans="1:6" x14ac:dyDescent="0.25">
      <c r="A309" t="str">
        <f t="shared" ref="A309" si="308">B309&amp;"_4"</f>
        <v>NHK_Mb_siRNA16uL_4</v>
      </c>
      <c r="B309" t="s">
        <v>76</v>
      </c>
      <c r="C309">
        <v>2384274</v>
      </c>
      <c r="D309">
        <v>60</v>
      </c>
      <c r="E309">
        <v>2222317</v>
      </c>
      <c r="F309">
        <f t="shared" si="258"/>
        <v>1.0728775417728433</v>
      </c>
    </row>
    <row r="310" spans="1:6" x14ac:dyDescent="0.25">
      <c r="A310" t="str">
        <f t="shared" ref="A310" si="309">B310&amp;"_1"</f>
        <v>NHK_Mb_siRNA16uL_1</v>
      </c>
      <c r="B310" t="s">
        <v>76</v>
      </c>
      <c r="C310">
        <v>2399266</v>
      </c>
      <c r="D310">
        <v>90</v>
      </c>
      <c r="E310">
        <v>2221690</v>
      </c>
      <c r="F310">
        <f t="shared" si="258"/>
        <v>1.0799283428381097</v>
      </c>
    </row>
    <row r="311" spans="1:6" x14ac:dyDescent="0.25">
      <c r="A311" t="str">
        <f t="shared" ref="A311" si="310">B311&amp;"_2"</f>
        <v>NHK_Mb_siRNA16uL_2</v>
      </c>
      <c r="B311" t="s">
        <v>76</v>
      </c>
      <c r="C311">
        <v>2391080</v>
      </c>
      <c r="D311">
        <v>90</v>
      </c>
      <c r="E311">
        <v>2208487</v>
      </c>
      <c r="F311">
        <f t="shared" si="258"/>
        <v>1.0826778695097594</v>
      </c>
    </row>
    <row r="312" spans="1:6" x14ac:dyDescent="0.25">
      <c r="A312" t="str">
        <f t="shared" ref="A312" si="311">B312&amp;"_3"</f>
        <v>NHK_Mb_siRNA16uL_3</v>
      </c>
      <c r="B312" t="s">
        <v>76</v>
      </c>
      <c r="C312">
        <v>2440831</v>
      </c>
      <c r="D312">
        <v>90</v>
      </c>
      <c r="E312">
        <v>2253049</v>
      </c>
      <c r="F312">
        <f t="shared" si="258"/>
        <v>1.0833457239500783</v>
      </c>
    </row>
    <row r="313" spans="1:6" x14ac:dyDescent="0.25">
      <c r="A313" t="str">
        <f t="shared" ref="A313" si="312">B313&amp;"_4"</f>
        <v>NHK_Mb_siRNA16uL_4</v>
      </c>
      <c r="B313" t="s">
        <v>76</v>
      </c>
      <c r="C313">
        <v>2426973</v>
      </c>
      <c r="D313">
        <v>90</v>
      </c>
      <c r="E313">
        <v>2222317</v>
      </c>
      <c r="F313">
        <f t="shared" si="258"/>
        <v>1.092091272307236</v>
      </c>
    </row>
    <row r="314" spans="1:6" x14ac:dyDescent="0.25">
      <c r="A314" t="str">
        <f t="shared" ref="A314" si="313">B314&amp;"_1"</f>
        <v>NHK_Mb_siRNA16uL_1</v>
      </c>
      <c r="B314" t="s">
        <v>76</v>
      </c>
      <c r="C314">
        <v>2411573</v>
      </c>
      <c r="D314">
        <v>120</v>
      </c>
      <c r="E314">
        <v>2221690</v>
      </c>
      <c r="F314">
        <f t="shared" si="258"/>
        <v>1.0854678195427805</v>
      </c>
    </row>
    <row r="315" spans="1:6" x14ac:dyDescent="0.25">
      <c r="A315" t="str">
        <f t="shared" ref="A315" si="314">B315&amp;"_2"</f>
        <v>NHK_Mb_siRNA16uL_2</v>
      </c>
      <c r="B315" t="s">
        <v>76</v>
      </c>
      <c r="C315">
        <v>2425205</v>
      </c>
      <c r="D315">
        <v>120</v>
      </c>
      <c r="E315">
        <v>2208487</v>
      </c>
      <c r="F315">
        <f t="shared" si="258"/>
        <v>1.098129624489526</v>
      </c>
    </row>
    <row r="316" spans="1:6" x14ac:dyDescent="0.25">
      <c r="A316" t="str">
        <f t="shared" ref="A316" si="315">B316&amp;"_3"</f>
        <v>NHK_Mb_siRNA16uL_3</v>
      </c>
      <c r="B316" t="s">
        <v>76</v>
      </c>
      <c r="C316">
        <v>2462366</v>
      </c>
      <c r="D316">
        <v>120</v>
      </c>
      <c r="E316">
        <v>2253049</v>
      </c>
      <c r="F316">
        <f t="shared" si="258"/>
        <v>1.0929038826940736</v>
      </c>
    </row>
    <row r="317" spans="1:6" x14ac:dyDescent="0.25">
      <c r="A317" t="str">
        <f t="shared" ref="A317" si="316">B317&amp;"_4"</f>
        <v>NHK_Mb_siRNA16uL_4</v>
      </c>
      <c r="B317" t="s">
        <v>76</v>
      </c>
      <c r="C317">
        <v>2452340</v>
      </c>
      <c r="D317">
        <v>120</v>
      </c>
      <c r="E317">
        <v>2222317</v>
      </c>
      <c r="F317">
        <f t="shared" si="258"/>
        <v>1.1035059354718522</v>
      </c>
    </row>
    <row r="318" spans="1:6" x14ac:dyDescent="0.25">
      <c r="A318" t="str">
        <f t="shared" ref="A318" si="317">B318&amp;"_1"</f>
        <v>NHK_Mb_siRNA16uL_1</v>
      </c>
      <c r="B318" t="s">
        <v>76</v>
      </c>
      <c r="C318">
        <v>2449991</v>
      </c>
      <c r="D318">
        <v>150</v>
      </c>
      <c r="E318">
        <v>2221690</v>
      </c>
      <c r="F318">
        <f t="shared" si="258"/>
        <v>1.1027600610346178</v>
      </c>
    </row>
    <row r="319" spans="1:6" x14ac:dyDescent="0.25">
      <c r="A319" t="str">
        <f t="shared" ref="A319" si="318">B319&amp;"_2"</f>
        <v>NHK_Mb_siRNA16uL_2</v>
      </c>
      <c r="B319" t="s">
        <v>76</v>
      </c>
      <c r="C319">
        <v>2451800</v>
      </c>
      <c r="D319">
        <v>150</v>
      </c>
      <c r="E319">
        <v>2208487</v>
      </c>
      <c r="F319">
        <f t="shared" si="258"/>
        <v>1.1101718054034277</v>
      </c>
    </row>
    <row r="320" spans="1:6" x14ac:dyDescent="0.25">
      <c r="A320" t="str">
        <f t="shared" ref="A320" si="319">B320&amp;"_3"</f>
        <v>NHK_Mb_siRNA16uL_3</v>
      </c>
      <c r="B320" t="s">
        <v>76</v>
      </c>
      <c r="C320">
        <v>2473438</v>
      </c>
      <c r="D320">
        <v>150</v>
      </c>
      <c r="E320">
        <v>2253049</v>
      </c>
      <c r="F320">
        <f t="shared" si="258"/>
        <v>1.0978181122558808</v>
      </c>
    </row>
    <row r="321" spans="1:6" x14ac:dyDescent="0.25">
      <c r="A321" t="str">
        <f t="shared" ref="A321" si="320">B321&amp;"_4"</f>
        <v>NHK_Mb_siRNA16uL_4</v>
      </c>
      <c r="B321" t="s">
        <v>76</v>
      </c>
      <c r="C321">
        <v>2478947</v>
      </c>
      <c r="D321">
        <v>150</v>
      </c>
      <c r="E321">
        <v>2222317</v>
      </c>
      <c r="F321">
        <f t="shared" si="258"/>
        <v>1.1154785748387832</v>
      </c>
    </row>
    <row r="322" spans="1:6" x14ac:dyDescent="0.25">
      <c r="A322" t="str">
        <f t="shared" ref="A322" si="321">B322&amp;"_1"</f>
        <v>NHK_Mb_siRNA16uL_1</v>
      </c>
      <c r="B322" t="s">
        <v>76</v>
      </c>
      <c r="C322">
        <v>2455305</v>
      </c>
      <c r="D322">
        <v>180</v>
      </c>
      <c r="E322">
        <v>2221690</v>
      </c>
      <c r="F322">
        <f t="shared" si="258"/>
        <v>1.1051519338881661</v>
      </c>
    </row>
    <row r="323" spans="1:6" x14ac:dyDescent="0.25">
      <c r="A323" t="str">
        <f t="shared" ref="A323" si="322">B323&amp;"_2"</f>
        <v>NHK_Mb_siRNA16uL_2</v>
      </c>
      <c r="B323" t="s">
        <v>76</v>
      </c>
      <c r="C323">
        <v>2459516</v>
      </c>
      <c r="D323">
        <v>180</v>
      </c>
      <c r="E323">
        <v>2208487</v>
      </c>
      <c r="F323">
        <f t="shared" ref="F323:F386" si="323">C323/E323</f>
        <v>1.1136656000239078</v>
      </c>
    </row>
    <row r="324" spans="1:6" x14ac:dyDescent="0.25">
      <c r="A324" t="str">
        <f t="shared" ref="A324" si="324">B324&amp;"_3"</f>
        <v>NHK_Mb_siRNA16uL_3</v>
      </c>
      <c r="B324" t="s">
        <v>76</v>
      </c>
      <c r="C324">
        <v>2486831</v>
      </c>
      <c r="D324">
        <v>180</v>
      </c>
      <c r="E324">
        <v>2253049</v>
      </c>
      <c r="F324">
        <f t="shared" si="323"/>
        <v>1.1037625013925574</v>
      </c>
    </row>
    <row r="325" spans="1:6" x14ac:dyDescent="0.25">
      <c r="A325" t="str">
        <f t="shared" ref="A325" si="325">B325&amp;"_4"</f>
        <v>NHK_Mb_siRNA16uL_4</v>
      </c>
      <c r="B325" t="s">
        <v>76</v>
      </c>
      <c r="C325">
        <v>2476750</v>
      </c>
      <c r="D325">
        <v>180</v>
      </c>
      <c r="E325">
        <v>2222317</v>
      </c>
      <c r="F325">
        <f t="shared" si="323"/>
        <v>1.1144899670029074</v>
      </c>
    </row>
    <row r="326" spans="1:6" x14ac:dyDescent="0.25">
      <c r="A326" t="str">
        <f t="shared" ref="A326" si="326">B326&amp;"_1"</f>
        <v>NHK_Mb_siRNA2uL_1</v>
      </c>
      <c r="B326" t="s">
        <v>77</v>
      </c>
      <c r="C326">
        <v>2261458</v>
      </c>
      <c r="D326">
        <v>2</v>
      </c>
      <c r="E326">
        <v>2261458</v>
      </c>
      <c r="F326">
        <f t="shared" si="323"/>
        <v>1</v>
      </c>
    </row>
    <row r="327" spans="1:6" x14ac:dyDescent="0.25">
      <c r="A327" t="str">
        <f t="shared" ref="A327" si="327">B327&amp;"_2"</f>
        <v>NHK_Mb_siRNA2uL_2</v>
      </c>
      <c r="B327" t="s">
        <v>77</v>
      </c>
      <c r="C327">
        <v>2244386</v>
      </c>
      <c r="D327">
        <v>2</v>
      </c>
      <c r="E327">
        <v>2244386</v>
      </c>
      <c r="F327">
        <f t="shared" si="323"/>
        <v>1</v>
      </c>
    </row>
    <row r="328" spans="1:6" x14ac:dyDescent="0.25">
      <c r="A328" t="str">
        <f t="shared" ref="A328" si="328">B328&amp;"_3"</f>
        <v>NHK_Mb_siRNA2uL_3</v>
      </c>
      <c r="B328" t="s">
        <v>77</v>
      </c>
      <c r="C328">
        <v>2255797</v>
      </c>
      <c r="D328">
        <v>2</v>
      </c>
      <c r="E328">
        <v>2255797</v>
      </c>
      <c r="F328">
        <f t="shared" si="323"/>
        <v>1</v>
      </c>
    </row>
    <row r="329" spans="1:6" x14ac:dyDescent="0.25">
      <c r="A329" t="str">
        <f t="shared" ref="A329" si="329">B329&amp;"_4"</f>
        <v>NHK_Mb_siRNA2uL_4</v>
      </c>
      <c r="B329" t="s">
        <v>77</v>
      </c>
      <c r="C329">
        <v>2247545</v>
      </c>
      <c r="D329">
        <v>2</v>
      </c>
      <c r="E329">
        <v>2247545</v>
      </c>
      <c r="F329">
        <f t="shared" si="323"/>
        <v>1</v>
      </c>
    </row>
    <row r="330" spans="1:6" x14ac:dyDescent="0.25">
      <c r="A330" t="str">
        <f t="shared" ref="A330" si="330">B330&amp;"_1"</f>
        <v>NHK_Mb_siRNA2uL_1</v>
      </c>
      <c r="B330" t="s">
        <v>77</v>
      </c>
      <c r="C330">
        <v>2213944</v>
      </c>
      <c r="D330">
        <v>10</v>
      </c>
      <c r="E330">
        <v>2261458</v>
      </c>
      <c r="F330">
        <f t="shared" si="323"/>
        <v>0.97898966065255244</v>
      </c>
    </row>
    <row r="331" spans="1:6" x14ac:dyDescent="0.25">
      <c r="A331" t="str">
        <f t="shared" ref="A331" si="331">B331&amp;"_2"</f>
        <v>NHK_Mb_siRNA2uL_2</v>
      </c>
      <c r="B331" t="s">
        <v>77</v>
      </c>
      <c r="C331">
        <v>2192627</v>
      </c>
      <c r="D331">
        <v>10</v>
      </c>
      <c r="E331">
        <v>2244386</v>
      </c>
      <c r="F331">
        <f t="shared" si="323"/>
        <v>0.97693845889254349</v>
      </c>
    </row>
    <row r="332" spans="1:6" x14ac:dyDescent="0.25">
      <c r="A332" t="str">
        <f t="shared" ref="A332" si="332">B332&amp;"_3"</f>
        <v>NHK_Mb_siRNA2uL_3</v>
      </c>
      <c r="B332" t="s">
        <v>77</v>
      </c>
      <c r="C332">
        <v>2221775</v>
      </c>
      <c r="D332">
        <v>10</v>
      </c>
      <c r="E332">
        <v>2255797</v>
      </c>
      <c r="F332">
        <f t="shared" si="323"/>
        <v>0.98491796912576801</v>
      </c>
    </row>
    <row r="333" spans="1:6" x14ac:dyDescent="0.25">
      <c r="A333" t="str">
        <f t="shared" ref="A333" si="333">B333&amp;"_4"</f>
        <v>NHK_Mb_siRNA2uL_4</v>
      </c>
      <c r="B333" t="s">
        <v>77</v>
      </c>
      <c r="C333">
        <v>2227306</v>
      </c>
      <c r="D333">
        <v>10</v>
      </c>
      <c r="E333">
        <v>2247545</v>
      </c>
      <c r="F333">
        <f t="shared" si="323"/>
        <v>0.99099506350262179</v>
      </c>
    </row>
    <row r="334" spans="1:6" x14ac:dyDescent="0.25">
      <c r="A334" t="str">
        <f t="shared" ref="A334" si="334">B334&amp;"_1"</f>
        <v>NHK_Mb_siRNA2uL_1</v>
      </c>
      <c r="B334" t="s">
        <v>77</v>
      </c>
      <c r="C334">
        <v>2268055</v>
      </c>
      <c r="D334">
        <v>20</v>
      </c>
      <c r="E334">
        <v>2261458</v>
      </c>
      <c r="F334">
        <f t="shared" si="323"/>
        <v>1.0029171446031719</v>
      </c>
    </row>
    <row r="335" spans="1:6" x14ac:dyDescent="0.25">
      <c r="A335" t="str">
        <f t="shared" ref="A335" si="335">B335&amp;"_2"</f>
        <v>NHK_Mb_siRNA2uL_2</v>
      </c>
      <c r="B335" t="s">
        <v>77</v>
      </c>
      <c r="C335">
        <v>2247764</v>
      </c>
      <c r="D335">
        <v>20</v>
      </c>
      <c r="E335">
        <v>2244386</v>
      </c>
      <c r="F335">
        <f t="shared" si="323"/>
        <v>1.0015050886968642</v>
      </c>
    </row>
    <row r="336" spans="1:6" x14ac:dyDescent="0.25">
      <c r="A336" t="str">
        <f t="shared" ref="A336" si="336">B336&amp;"_3"</f>
        <v>NHK_Mb_siRNA2uL_3</v>
      </c>
      <c r="B336" t="s">
        <v>77</v>
      </c>
      <c r="C336">
        <v>2284282</v>
      </c>
      <c r="D336">
        <v>20</v>
      </c>
      <c r="E336">
        <v>2255797</v>
      </c>
      <c r="F336">
        <f t="shared" si="323"/>
        <v>1.0126274660352861</v>
      </c>
    </row>
    <row r="337" spans="1:6" x14ac:dyDescent="0.25">
      <c r="A337" t="str">
        <f t="shared" ref="A337" si="337">B337&amp;"_4"</f>
        <v>NHK_Mb_siRNA2uL_4</v>
      </c>
      <c r="B337" t="s">
        <v>77</v>
      </c>
      <c r="C337">
        <v>2258945</v>
      </c>
      <c r="D337">
        <v>20</v>
      </c>
      <c r="E337">
        <v>2247545</v>
      </c>
      <c r="F337">
        <f t="shared" si="323"/>
        <v>1.0050722010015372</v>
      </c>
    </row>
    <row r="338" spans="1:6" x14ac:dyDescent="0.25">
      <c r="A338" t="str">
        <f t="shared" ref="A338" si="338">B338&amp;"_1"</f>
        <v>NHK_Mb_siRNA2uL_1</v>
      </c>
      <c r="B338" t="s">
        <v>77</v>
      </c>
      <c r="C338">
        <v>2312365</v>
      </c>
      <c r="D338">
        <v>30</v>
      </c>
      <c r="E338">
        <v>2261458</v>
      </c>
      <c r="F338">
        <f t="shared" si="323"/>
        <v>1.0225106988500339</v>
      </c>
    </row>
    <row r="339" spans="1:6" x14ac:dyDescent="0.25">
      <c r="A339" t="str">
        <f t="shared" ref="A339" si="339">B339&amp;"_2"</f>
        <v>NHK_Mb_siRNA2uL_2</v>
      </c>
      <c r="B339" t="s">
        <v>77</v>
      </c>
      <c r="C339">
        <v>2301390</v>
      </c>
      <c r="D339">
        <v>30</v>
      </c>
      <c r="E339">
        <v>2244386</v>
      </c>
      <c r="F339">
        <f t="shared" si="323"/>
        <v>1.0253984831486207</v>
      </c>
    </row>
    <row r="340" spans="1:6" x14ac:dyDescent="0.25">
      <c r="A340" t="str">
        <f t="shared" ref="A340" si="340">B340&amp;"_3"</f>
        <v>NHK_Mb_siRNA2uL_3</v>
      </c>
      <c r="B340" t="s">
        <v>77</v>
      </c>
      <c r="C340">
        <v>2311607</v>
      </c>
      <c r="D340">
        <v>30</v>
      </c>
      <c r="E340">
        <v>2255797</v>
      </c>
      <c r="F340">
        <f t="shared" si="323"/>
        <v>1.0247407014017662</v>
      </c>
    </row>
    <row r="341" spans="1:6" x14ac:dyDescent="0.25">
      <c r="A341" t="str">
        <f t="shared" ref="A341" si="341">B341&amp;"_4"</f>
        <v>NHK_Mb_siRNA2uL_4</v>
      </c>
      <c r="B341" t="s">
        <v>77</v>
      </c>
      <c r="C341">
        <v>2303734</v>
      </c>
      <c r="D341">
        <v>30</v>
      </c>
      <c r="E341">
        <v>2247545</v>
      </c>
      <c r="F341">
        <f t="shared" si="323"/>
        <v>1.0250001668487172</v>
      </c>
    </row>
    <row r="342" spans="1:6" x14ac:dyDescent="0.25">
      <c r="A342" t="str">
        <f t="shared" ref="A342" si="342">B342&amp;"_1"</f>
        <v>NHK_Mb_siRNA2uL_1</v>
      </c>
      <c r="B342" t="s">
        <v>77</v>
      </c>
      <c r="C342">
        <v>2403295</v>
      </c>
      <c r="D342">
        <v>60</v>
      </c>
      <c r="E342">
        <v>2261458</v>
      </c>
      <c r="F342">
        <f t="shared" si="323"/>
        <v>1.0627192722571015</v>
      </c>
    </row>
    <row r="343" spans="1:6" x14ac:dyDescent="0.25">
      <c r="A343" t="str">
        <f t="shared" ref="A343" si="343">B343&amp;"_2"</f>
        <v>NHK_Mb_siRNA2uL_2</v>
      </c>
      <c r="B343" t="s">
        <v>77</v>
      </c>
      <c r="C343">
        <v>2374449</v>
      </c>
      <c r="D343">
        <v>60</v>
      </c>
      <c r="E343">
        <v>2244386</v>
      </c>
      <c r="F343">
        <f t="shared" si="323"/>
        <v>1.0579503703908328</v>
      </c>
    </row>
    <row r="344" spans="1:6" x14ac:dyDescent="0.25">
      <c r="A344" t="str">
        <f t="shared" ref="A344" si="344">B344&amp;"_3"</f>
        <v>NHK_Mb_siRNA2uL_3</v>
      </c>
      <c r="B344" t="s">
        <v>77</v>
      </c>
      <c r="C344">
        <v>2395355</v>
      </c>
      <c r="D344">
        <v>60</v>
      </c>
      <c r="E344">
        <v>2255797</v>
      </c>
      <c r="F344">
        <f t="shared" si="323"/>
        <v>1.0618663824803385</v>
      </c>
    </row>
    <row r="345" spans="1:6" x14ac:dyDescent="0.25">
      <c r="A345" t="str">
        <f t="shared" ref="A345" si="345">B345&amp;"_4"</f>
        <v>NHK_Mb_siRNA2uL_4</v>
      </c>
      <c r="B345" t="s">
        <v>77</v>
      </c>
      <c r="C345">
        <v>2375785</v>
      </c>
      <c r="D345">
        <v>60</v>
      </c>
      <c r="E345">
        <v>2247545</v>
      </c>
      <c r="F345">
        <f t="shared" si="323"/>
        <v>1.0570578119681697</v>
      </c>
    </row>
    <row r="346" spans="1:6" x14ac:dyDescent="0.25">
      <c r="A346" t="str">
        <f t="shared" ref="A346" si="346">B346&amp;"_1"</f>
        <v>NHK_Mb_siRNA2uL_1</v>
      </c>
      <c r="B346" t="s">
        <v>77</v>
      </c>
      <c r="C346">
        <v>2437571</v>
      </c>
      <c r="D346">
        <v>90</v>
      </c>
      <c r="E346">
        <v>2261458</v>
      </c>
      <c r="F346">
        <f t="shared" si="323"/>
        <v>1.0778758659236651</v>
      </c>
    </row>
    <row r="347" spans="1:6" x14ac:dyDescent="0.25">
      <c r="A347" t="str">
        <f t="shared" ref="A347" si="347">B347&amp;"_2"</f>
        <v>NHK_Mb_siRNA2uL_2</v>
      </c>
      <c r="B347" t="s">
        <v>77</v>
      </c>
      <c r="C347">
        <v>2408817</v>
      </c>
      <c r="D347">
        <v>90</v>
      </c>
      <c r="E347">
        <v>2244386</v>
      </c>
      <c r="F347">
        <f t="shared" si="323"/>
        <v>1.0732632443795318</v>
      </c>
    </row>
    <row r="348" spans="1:6" x14ac:dyDescent="0.25">
      <c r="A348" t="str">
        <f t="shared" ref="A348" si="348">B348&amp;"_3"</f>
        <v>NHK_Mb_siRNA2uL_3</v>
      </c>
      <c r="B348" t="s">
        <v>77</v>
      </c>
      <c r="C348">
        <v>2434176</v>
      </c>
      <c r="D348">
        <v>90</v>
      </c>
      <c r="E348">
        <v>2255797</v>
      </c>
      <c r="F348">
        <f t="shared" si="323"/>
        <v>1.079075821095604</v>
      </c>
    </row>
    <row r="349" spans="1:6" x14ac:dyDescent="0.25">
      <c r="A349" t="str">
        <f t="shared" ref="A349" si="349">B349&amp;"_4"</f>
        <v>NHK_Mb_siRNA2uL_4</v>
      </c>
      <c r="B349" t="s">
        <v>77</v>
      </c>
      <c r="C349">
        <v>2411758</v>
      </c>
      <c r="D349">
        <v>90</v>
      </c>
      <c r="E349">
        <v>2247545</v>
      </c>
      <c r="F349">
        <f t="shared" si="323"/>
        <v>1.0730632757074943</v>
      </c>
    </row>
    <row r="350" spans="1:6" x14ac:dyDescent="0.25">
      <c r="A350" t="str">
        <f t="shared" ref="A350" si="350">B350&amp;"_1"</f>
        <v>NHK_Mb_siRNA2uL_1</v>
      </c>
      <c r="B350" t="s">
        <v>77</v>
      </c>
      <c r="C350">
        <v>2451243</v>
      </c>
      <c r="D350">
        <v>120</v>
      </c>
      <c r="E350">
        <v>2261458</v>
      </c>
      <c r="F350">
        <f t="shared" si="323"/>
        <v>1.0839215231943287</v>
      </c>
    </row>
    <row r="351" spans="1:6" x14ac:dyDescent="0.25">
      <c r="A351" t="str">
        <f t="shared" ref="A351" si="351">B351&amp;"_2"</f>
        <v>NHK_Mb_siRNA2uL_2</v>
      </c>
      <c r="B351" t="s">
        <v>77</v>
      </c>
      <c r="C351">
        <v>2442516</v>
      </c>
      <c r="D351">
        <v>120</v>
      </c>
      <c r="E351">
        <v>2244386</v>
      </c>
      <c r="F351">
        <f t="shared" si="323"/>
        <v>1.0882780412994912</v>
      </c>
    </row>
    <row r="352" spans="1:6" x14ac:dyDescent="0.25">
      <c r="A352" t="str">
        <f t="shared" ref="A352" si="352">B352&amp;"_3"</f>
        <v>NHK_Mb_siRNA2uL_3</v>
      </c>
      <c r="B352" t="s">
        <v>77</v>
      </c>
      <c r="C352">
        <v>2459785</v>
      </c>
      <c r="D352">
        <v>120</v>
      </c>
      <c r="E352">
        <v>2255797</v>
      </c>
      <c r="F352">
        <f t="shared" si="323"/>
        <v>1.0904283497140921</v>
      </c>
    </row>
    <row r="353" spans="1:6" x14ac:dyDescent="0.25">
      <c r="A353" t="str">
        <f t="shared" ref="A353" si="353">B353&amp;"_4"</f>
        <v>NHK_Mb_siRNA2uL_4</v>
      </c>
      <c r="B353" t="s">
        <v>77</v>
      </c>
      <c r="C353">
        <v>2453377</v>
      </c>
      <c r="D353">
        <v>120</v>
      </c>
      <c r="E353">
        <v>2247545</v>
      </c>
      <c r="F353">
        <f t="shared" si="323"/>
        <v>1.0915808137323169</v>
      </c>
    </row>
    <row r="354" spans="1:6" x14ac:dyDescent="0.25">
      <c r="A354" t="str">
        <f t="shared" ref="A354" si="354">B354&amp;"_1"</f>
        <v>NHK_Mb_siRNA2uL_1</v>
      </c>
      <c r="B354" t="s">
        <v>77</v>
      </c>
      <c r="C354">
        <v>2465621</v>
      </c>
      <c r="D354">
        <v>150</v>
      </c>
      <c r="E354">
        <v>2261458</v>
      </c>
      <c r="F354">
        <f t="shared" si="323"/>
        <v>1.0902793684428365</v>
      </c>
    </row>
    <row r="355" spans="1:6" x14ac:dyDescent="0.25">
      <c r="A355" t="str">
        <f t="shared" ref="A355" si="355">B355&amp;"_2"</f>
        <v>NHK_Mb_siRNA2uL_2</v>
      </c>
      <c r="B355" t="s">
        <v>77</v>
      </c>
      <c r="C355">
        <v>2466236</v>
      </c>
      <c r="D355">
        <v>150</v>
      </c>
      <c r="E355">
        <v>2244386</v>
      </c>
      <c r="F355">
        <f t="shared" si="323"/>
        <v>1.0988466333331255</v>
      </c>
    </row>
    <row r="356" spans="1:6" x14ac:dyDescent="0.25">
      <c r="A356" t="str">
        <f t="shared" ref="A356" si="356">B356&amp;"_3"</f>
        <v>NHK_Mb_siRNA2uL_3</v>
      </c>
      <c r="B356" t="s">
        <v>77</v>
      </c>
      <c r="C356">
        <v>2498339</v>
      </c>
      <c r="D356">
        <v>150</v>
      </c>
      <c r="E356">
        <v>2255797</v>
      </c>
      <c r="F356">
        <f t="shared" si="323"/>
        <v>1.1075194266150723</v>
      </c>
    </row>
    <row r="357" spans="1:6" x14ac:dyDescent="0.25">
      <c r="A357" t="str">
        <f t="shared" ref="A357" si="357">B357&amp;"_4"</f>
        <v>NHK_Mb_siRNA2uL_4</v>
      </c>
      <c r="B357" t="s">
        <v>77</v>
      </c>
      <c r="C357">
        <v>2502319</v>
      </c>
      <c r="D357">
        <v>150</v>
      </c>
      <c r="E357">
        <v>2247545</v>
      </c>
      <c r="F357">
        <f t="shared" si="323"/>
        <v>1.1133565735057585</v>
      </c>
    </row>
    <row r="358" spans="1:6" x14ac:dyDescent="0.25">
      <c r="A358" t="str">
        <f t="shared" ref="A358" si="358">B358&amp;"_1"</f>
        <v>NHK_Mb_siRNA2uL_1</v>
      </c>
      <c r="B358" t="s">
        <v>77</v>
      </c>
      <c r="C358">
        <v>2500286</v>
      </c>
      <c r="D358">
        <v>180</v>
      </c>
      <c r="E358">
        <v>2261458</v>
      </c>
      <c r="F358">
        <f t="shared" si="323"/>
        <v>1.1056079750320369</v>
      </c>
    </row>
    <row r="359" spans="1:6" x14ac:dyDescent="0.25">
      <c r="A359" t="str">
        <f t="shared" ref="A359" si="359">B359&amp;"_2"</f>
        <v>NHK_Mb_siRNA2uL_2</v>
      </c>
      <c r="B359" t="s">
        <v>77</v>
      </c>
      <c r="C359">
        <v>2499263</v>
      </c>
      <c r="D359">
        <v>180</v>
      </c>
      <c r="E359">
        <v>2244386</v>
      </c>
      <c r="F359">
        <f t="shared" si="323"/>
        <v>1.1135620165158757</v>
      </c>
    </row>
    <row r="360" spans="1:6" x14ac:dyDescent="0.25">
      <c r="A360" t="str">
        <f t="shared" ref="A360" si="360">B360&amp;"_3"</f>
        <v>NHK_Mb_siRNA2uL_3</v>
      </c>
      <c r="B360" t="s">
        <v>77</v>
      </c>
      <c r="C360">
        <v>2517738</v>
      </c>
      <c r="D360">
        <v>180</v>
      </c>
      <c r="E360">
        <v>2255797</v>
      </c>
      <c r="F360">
        <f t="shared" si="323"/>
        <v>1.1161190479462468</v>
      </c>
    </row>
    <row r="361" spans="1:6" x14ac:dyDescent="0.25">
      <c r="A361" t="str">
        <f t="shared" ref="A361" si="361">B361&amp;"_4"</f>
        <v>NHK_Mb_siRNA2uL_4</v>
      </c>
      <c r="B361" t="s">
        <v>77</v>
      </c>
      <c r="C361">
        <v>2515059</v>
      </c>
      <c r="D361">
        <v>180</v>
      </c>
      <c r="E361">
        <v>2247545</v>
      </c>
      <c r="F361">
        <f t="shared" si="323"/>
        <v>1.1190249805899326</v>
      </c>
    </row>
    <row r="362" spans="1:6" x14ac:dyDescent="0.25">
      <c r="A362" t="str">
        <f t="shared" ref="A362" si="362">B362&amp;"_1"</f>
        <v>NHK_Mb_siRNA4uL_1</v>
      </c>
      <c r="B362" t="s">
        <v>78</v>
      </c>
      <c r="C362">
        <v>2248724</v>
      </c>
      <c r="D362">
        <v>2</v>
      </c>
      <c r="E362">
        <v>2248724</v>
      </c>
      <c r="F362">
        <f t="shared" si="323"/>
        <v>1</v>
      </c>
    </row>
    <row r="363" spans="1:6" x14ac:dyDescent="0.25">
      <c r="A363" t="str">
        <f t="shared" ref="A363" si="363">B363&amp;"_2"</f>
        <v>NHK_Mb_siRNA4uL_2</v>
      </c>
      <c r="B363" t="s">
        <v>78</v>
      </c>
      <c r="C363">
        <v>2244265</v>
      </c>
      <c r="D363">
        <v>2</v>
      </c>
      <c r="E363">
        <v>2244265</v>
      </c>
      <c r="F363">
        <f t="shared" si="323"/>
        <v>1</v>
      </c>
    </row>
    <row r="364" spans="1:6" x14ac:dyDescent="0.25">
      <c r="A364" t="str">
        <f t="shared" ref="A364" si="364">B364&amp;"_3"</f>
        <v>NHK_Mb_siRNA4uL_3</v>
      </c>
      <c r="B364" t="s">
        <v>78</v>
      </c>
      <c r="C364">
        <v>2272217</v>
      </c>
      <c r="D364">
        <v>2</v>
      </c>
      <c r="E364">
        <v>2272217</v>
      </c>
      <c r="F364">
        <f t="shared" si="323"/>
        <v>1</v>
      </c>
    </row>
    <row r="365" spans="1:6" x14ac:dyDescent="0.25">
      <c r="A365" t="str">
        <f t="shared" ref="A365" si="365">B365&amp;"_4"</f>
        <v>NHK_Mb_siRNA4uL_4</v>
      </c>
      <c r="B365" t="s">
        <v>78</v>
      </c>
      <c r="C365">
        <v>2264209</v>
      </c>
      <c r="D365">
        <v>2</v>
      </c>
      <c r="E365">
        <v>2264209</v>
      </c>
      <c r="F365">
        <f t="shared" si="323"/>
        <v>1</v>
      </c>
    </row>
    <row r="366" spans="1:6" x14ac:dyDescent="0.25">
      <c r="A366" t="str">
        <f t="shared" ref="A366" si="366">B366&amp;"_1"</f>
        <v>NHK_Mb_siRNA4uL_1</v>
      </c>
      <c r="B366" t="s">
        <v>78</v>
      </c>
      <c r="C366">
        <v>2199424</v>
      </c>
      <c r="D366">
        <v>10</v>
      </c>
      <c r="E366">
        <v>2248724</v>
      </c>
      <c r="F366">
        <f t="shared" si="323"/>
        <v>0.9780764558033801</v>
      </c>
    </row>
    <row r="367" spans="1:6" x14ac:dyDescent="0.25">
      <c r="A367" t="str">
        <f t="shared" ref="A367" si="367">B367&amp;"_2"</f>
        <v>NHK_Mb_siRNA4uL_2</v>
      </c>
      <c r="B367" t="s">
        <v>78</v>
      </c>
      <c r="C367">
        <v>2218801</v>
      </c>
      <c r="D367">
        <v>10</v>
      </c>
      <c r="E367">
        <v>2244265</v>
      </c>
      <c r="F367">
        <f t="shared" si="323"/>
        <v>0.98865374632674841</v>
      </c>
    </row>
    <row r="368" spans="1:6" x14ac:dyDescent="0.25">
      <c r="A368" t="str">
        <f t="shared" ref="A368" si="368">B368&amp;"_3"</f>
        <v>NHK_Mb_siRNA4uL_3</v>
      </c>
      <c r="B368" t="s">
        <v>78</v>
      </c>
      <c r="C368">
        <v>2221664</v>
      </c>
      <c r="D368">
        <v>10</v>
      </c>
      <c r="E368">
        <v>2272217</v>
      </c>
      <c r="F368">
        <f t="shared" si="323"/>
        <v>0.97775168480827312</v>
      </c>
    </row>
    <row r="369" spans="1:6" x14ac:dyDescent="0.25">
      <c r="A369" t="str">
        <f t="shared" ref="A369" si="369">B369&amp;"_4"</f>
        <v>NHK_Mb_siRNA4uL_4</v>
      </c>
      <c r="B369" t="s">
        <v>78</v>
      </c>
      <c r="C369">
        <v>2241424</v>
      </c>
      <c r="D369">
        <v>10</v>
      </c>
      <c r="E369">
        <v>2264209</v>
      </c>
      <c r="F369">
        <f t="shared" si="323"/>
        <v>0.98993688303509086</v>
      </c>
    </row>
    <row r="370" spans="1:6" x14ac:dyDescent="0.25">
      <c r="A370" t="str">
        <f t="shared" ref="A370" si="370">B370&amp;"_1"</f>
        <v>NHK_Mb_siRNA4uL_1</v>
      </c>
      <c r="B370" t="s">
        <v>78</v>
      </c>
      <c r="C370">
        <v>2262500</v>
      </c>
      <c r="D370">
        <v>20</v>
      </c>
      <c r="E370">
        <v>2248724</v>
      </c>
      <c r="F370">
        <f t="shared" si="323"/>
        <v>1.0061261408692219</v>
      </c>
    </row>
    <row r="371" spans="1:6" x14ac:dyDescent="0.25">
      <c r="A371" t="str">
        <f t="shared" ref="A371" si="371">B371&amp;"_2"</f>
        <v>NHK_Mb_siRNA4uL_2</v>
      </c>
      <c r="B371" t="s">
        <v>78</v>
      </c>
      <c r="C371">
        <v>2265858</v>
      </c>
      <c r="D371">
        <v>20</v>
      </c>
      <c r="E371">
        <v>2244265</v>
      </c>
      <c r="F371">
        <f t="shared" si="323"/>
        <v>1.009621412801073</v>
      </c>
    </row>
    <row r="372" spans="1:6" x14ac:dyDescent="0.25">
      <c r="A372" t="str">
        <f t="shared" ref="A372" si="372">B372&amp;"_3"</f>
        <v>NHK_Mb_siRNA4uL_3</v>
      </c>
      <c r="B372" t="s">
        <v>78</v>
      </c>
      <c r="C372">
        <v>2275382</v>
      </c>
      <c r="D372">
        <v>20</v>
      </c>
      <c r="E372">
        <v>2272217</v>
      </c>
      <c r="F372">
        <f t="shared" si="323"/>
        <v>1.0013929127367676</v>
      </c>
    </row>
    <row r="373" spans="1:6" x14ac:dyDescent="0.25">
      <c r="A373" t="str">
        <f t="shared" ref="A373" si="373">B373&amp;"_4"</f>
        <v>NHK_Mb_siRNA4uL_4</v>
      </c>
      <c r="B373" t="s">
        <v>78</v>
      </c>
      <c r="C373">
        <v>2305108</v>
      </c>
      <c r="D373">
        <v>20</v>
      </c>
      <c r="E373">
        <v>2264209</v>
      </c>
      <c r="F373">
        <f t="shared" si="323"/>
        <v>1.0180632618278613</v>
      </c>
    </row>
    <row r="374" spans="1:6" x14ac:dyDescent="0.25">
      <c r="A374" t="str">
        <f t="shared" ref="A374" si="374">B374&amp;"_1"</f>
        <v>NHK_Mb_siRNA4uL_1</v>
      </c>
      <c r="B374" t="s">
        <v>78</v>
      </c>
      <c r="C374">
        <v>2298396</v>
      </c>
      <c r="D374">
        <v>30</v>
      </c>
      <c r="E374">
        <v>2248724</v>
      </c>
      <c r="F374">
        <f t="shared" si="323"/>
        <v>1.0220889713455275</v>
      </c>
    </row>
    <row r="375" spans="1:6" x14ac:dyDescent="0.25">
      <c r="A375" t="str">
        <f t="shared" ref="A375" si="375">B375&amp;"_2"</f>
        <v>NHK_Mb_siRNA4uL_2</v>
      </c>
      <c r="B375" t="s">
        <v>78</v>
      </c>
      <c r="C375">
        <v>2291646</v>
      </c>
      <c r="D375">
        <v>30</v>
      </c>
      <c r="E375">
        <v>2244265</v>
      </c>
      <c r="F375">
        <f t="shared" si="323"/>
        <v>1.0211120344522595</v>
      </c>
    </row>
    <row r="376" spans="1:6" x14ac:dyDescent="0.25">
      <c r="A376" t="str">
        <f t="shared" ref="A376" si="376">B376&amp;"_3"</f>
        <v>NHK_Mb_siRNA4uL_3</v>
      </c>
      <c r="B376" t="s">
        <v>78</v>
      </c>
      <c r="C376">
        <v>2335455</v>
      </c>
      <c r="D376">
        <v>30</v>
      </c>
      <c r="E376">
        <v>2272217</v>
      </c>
      <c r="F376">
        <f t="shared" si="323"/>
        <v>1.0278309686090721</v>
      </c>
    </row>
    <row r="377" spans="1:6" x14ac:dyDescent="0.25">
      <c r="A377" t="str">
        <f t="shared" ref="A377" si="377">B377&amp;"_4"</f>
        <v>NHK_Mb_siRNA4uL_4</v>
      </c>
      <c r="B377" t="s">
        <v>78</v>
      </c>
      <c r="C377">
        <v>2340487</v>
      </c>
      <c r="D377">
        <v>30</v>
      </c>
      <c r="E377">
        <v>2264209</v>
      </c>
      <c r="F377">
        <f t="shared" si="323"/>
        <v>1.033688586168503</v>
      </c>
    </row>
    <row r="378" spans="1:6" x14ac:dyDescent="0.25">
      <c r="A378" t="str">
        <f t="shared" ref="A378" si="378">B378&amp;"_1"</f>
        <v>NHK_Mb_siRNA4uL_1</v>
      </c>
      <c r="B378" t="s">
        <v>78</v>
      </c>
      <c r="C378">
        <v>2386688</v>
      </c>
      <c r="D378">
        <v>60</v>
      </c>
      <c r="E378">
        <v>2248724</v>
      </c>
      <c r="F378">
        <f t="shared" si="323"/>
        <v>1.0613521268061354</v>
      </c>
    </row>
    <row r="379" spans="1:6" x14ac:dyDescent="0.25">
      <c r="A379" t="str">
        <f t="shared" ref="A379" si="379">B379&amp;"_2"</f>
        <v>NHK_Mb_siRNA4uL_2</v>
      </c>
      <c r="B379" t="s">
        <v>78</v>
      </c>
      <c r="C379">
        <v>2369390</v>
      </c>
      <c r="D379">
        <v>60</v>
      </c>
      <c r="E379">
        <v>2244265</v>
      </c>
      <c r="F379">
        <f t="shared" si="323"/>
        <v>1.0557532198737671</v>
      </c>
    </row>
    <row r="380" spans="1:6" x14ac:dyDescent="0.25">
      <c r="A380" t="str">
        <f t="shared" ref="A380" si="380">B380&amp;"_3"</f>
        <v>NHK_Mb_siRNA4uL_3</v>
      </c>
      <c r="B380" t="s">
        <v>78</v>
      </c>
      <c r="C380">
        <v>2408090</v>
      </c>
      <c r="D380">
        <v>60</v>
      </c>
      <c r="E380">
        <v>2272217</v>
      </c>
      <c r="F380">
        <f t="shared" si="323"/>
        <v>1.0597975457449706</v>
      </c>
    </row>
    <row r="381" spans="1:6" x14ac:dyDescent="0.25">
      <c r="A381" t="str">
        <f t="shared" ref="A381" si="381">B381&amp;"_4"</f>
        <v>NHK_Mb_siRNA4uL_4</v>
      </c>
      <c r="B381" t="s">
        <v>78</v>
      </c>
      <c r="C381">
        <v>2405583</v>
      </c>
      <c r="D381">
        <v>60</v>
      </c>
      <c r="E381">
        <v>2264209</v>
      </c>
      <c r="F381">
        <f t="shared" si="323"/>
        <v>1.0624385823040188</v>
      </c>
    </row>
    <row r="382" spans="1:6" x14ac:dyDescent="0.25">
      <c r="A382" t="str">
        <f t="shared" ref="A382" si="382">B382&amp;"_1"</f>
        <v>NHK_Mb_siRNA4uL_1</v>
      </c>
      <c r="B382" t="s">
        <v>78</v>
      </c>
      <c r="C382">
        <v>2398610</v>
      </c>
      <c r="D382">
        <v>90</v>
      </c>
      <c r="E382">
        <v>2248724</v>
      </c>
      <c r="F382">
        <f t="shared" si="323"/>
        <v>1.0666538001106405</v>
      </c>
    </row>
    <row r="383" spans="1:6" x14ac:dyDescent="0.25">
      <c r="A383" t="str">
        <f t="shared" ref="A383" si="383">B383&amp;"_2"</f>
        <v>NHK_Mb_siRNA4uL_2</v>
      </c>
      <c r="B383" t="s">
        <v>78</v>
      </c>
      <c r="C383">
        <v>2412898</v>
      </c>
      <c r="D383">
        <v>90</v>
      </c>
      <c r="E383">
        <v>2244265</v>
      </c>
      <c r="F383">
        <f t="shared" si="323"/>
        <v>1.0751395222934903</v>
      </c>
    </row>
    <row r="384" spans="1:6" x14ac:dyDescent="0.25">
      <c r="A384" t="str">
        <f t="shared" ref="A384" si="384">B384&amp;"_3"</f>
        <v>NHK_Mb_siRNA4uL_3</v>
      </c>
      <c r="B384" t="s">
        <v>78</v>
      </c>
      <c r="C384">
        <v>2429742</v>
      </c>
      <c r="D384">
        <v>90</v>
      </c>
      <c r="E384">
        <v>2272217</v>
      </c>
      <c r="F384">
        <f t="shared" si="323"/>
        <v>1.0693265652004187</v>
      </c>
    </row>
    <row r="385" spans="1:6" x14ac:dyDescent="0.25">
      <c r="A385" t="str">
        <f t="shared" ref="A385" si="385">B385&amp;"_4"</f>
        <v>NHK_Mb_siRNA4uL_4</v>
      </c>
      <c r="B385" t="s">
        <v>78</v>
      </c>
      <c r="C385">
        <v>2452881</v>
      </c>
      <c r="D385">
        <v>90</v>
      </c>
      <c r="E385">
        <v>2264209</v>
      </c>
      <c r="F385">
        <f t="shared" si="323"/>
        <v>1.0833279966646188</v>
      </c>
    </row>
    <row r="386" spans="1:6" x14ac:dyDescent="0.25">
      <c r="A386" t="str">
        <f t="shared" ref="A386" si="386">B386&amp;"_1"</f>
        <v>NHK_Mb_siRNA4uL_1</v>
      </c>
      <c r="B386" t="s">
        <v>78</v>
      </c>
      <c r="C386">
        <v>2431727</v>
      </c>
      <c r="D386">
        <v>120</v>
      </c>
      <c r="E386">
        <v>2248724</v>
      </c>
      <c r="F386">
        <f t="shared" si="323"/>
        <v>1.0813808186331448</v>
      </c>
    </row>
    <row r="387" spans="1:6" x14ac:dyDescent="0.25">
      <c r="A387" t="str">
        <f t="shared" ref="A387" si="387">B387&amp;"_2"</f>
        <v>NHK_Mb_siRNA4uL_2</v>
      </c>
      <c r="B387" t="s">
        <v>78</v>
      </c>
      <c r="C387">
        <v>2455482</v>
      </c>
      <c r="D387">
        <v>120</v>
      </c>
      <c r="E387">
        <v>2244265</v>
      </c>
      <c r="F387">
        <f t="shared" ref="F387:F450" si="388">C387/E387</f>
        <v>1.0941141086279917</v>
      </c>
    </row>
    <row r="388" spans="1:6" x14ac:dyDescent="0.25">
      <c r="A388" t="str">
        <f t="shared" ref="A388" si="389">B388&amp;"_3"</f>
        <v>NHK_Mb_siRNA4uL_3</v>
      </c>
      <c r="B388" t="s">
        <v>78</v>
      </c>
      <c r="C388">
        <v>2473150</v>
      </c>
      <c r="D388">
        <v>120</v>
      </c>
      <c r="E388">
        <v>2272217</v>
      </c>
      <c r="F388">
        <f t="shared" si="388"/>
        <v>1.0884303743876576</v>
      </c>
    </row>
    <row r="389" spans="1:6" x14ac:dyDescent="0.25">
      <c r="A389" t="str">
        <f t="shared" ref="A389" si="390">B389&amp;"_4"</f>
        <v>NHK_Mb_siRNA4uL_4</v>
      </c>
      <c r="B389" t="s">
        <v>78</v>
      </c>
      <c r="C389">
        <v>2481004</v>
      </c>
      <c r="D389">
        <v>120</v>
      </c>
      <c r="E389">
        <v>2264209</v>
      </c>
      <c r="F389">
        <f t="shared" si="388"/>
        <v>1.095748669844524</v>
      </c>
    </row>
    <row r="390" spans="1:6" x14ac:dyDescent="0.25">
      <c r="A390" t="str">
        <f t="shared" ref="A390" si="391">B390&amp;"_1"</f>
        <v>NHK_Mb_siRNA4uL_1</v>
      </c>
      <c r="B390" t="s">
        <v>78</v>
      </c>
      <c r="C390">
        <v>2464100</v>
      </c>
      <c r="D390">
        <v>150</v>
      </c>
      <c r="E390">
        <v>2248724</v>
      </c>
      <c r="F390">
        <f t="shared" si="388"/>
        <v>1.0957769828578341</v>
      </c>
    </row>
    <row r="391" spans="1:6" x14ac:dyDescent="0.25">
      <c r="A391" t="str">
        <f t="shared" ref="A391" si="392">B391&amp;"_2"</f>
        <v>NHK_Mb_siRNA4uL_2</v>
      </c>
      <c r="B391" t="s">
        <v>78</v>
      </c>
      <c r="C391">
        <v>2462316</v>
      </c>
      <c r="D391">
        <v>150</v>
      </c>
      <c r="E391">
        <v>2244265</v>
      </c>
      <c r="F391">
        <f t="shared" si="388"/>
        <v>1.0971592035699884</v>
      </c>
    </row>
    <row r="392" spans="1:6" x14ac:dyDescent="0.25">
      <c r="A392" t="str">
        <f t="shared" ref="A392" si="393">B392&amp;"_3"</f>
        <v>NHK_Mb_siRNA4uL_3</v>
      </c>
      <c r="B392" t="s">
        <v>78</v>
      </c>
      <c r="C392">
        <v>2492653</v>
      </c>
      <c r="D392">
        <v>150</v>
      </c>
      <c r="E392">
        <v>2272217</v>
      </c>
      <c r="F392">
        <f t="shared" si="388"/>
        <v>1.0970136214982988</v>
      </c>
    </row>
    <row r="393" spans="1:6" x14ac:dyDescent="0.25">
      <c r="A393" t="str">
        <f t="shared" ref="A393" si="394">B393&amp;"_4"</f>
        <v>NHK_Mb_siRNA4uL_4</v>
      </c>
      <c r="B393" t="s">
        <v>78</v>
      </c>
      <c r="C393">
        <v>2492806</v>
      </c>
      <c r="D393">
        <v>150</v>
      </c>
      <c r="E393">
        <v>2264209</v>
      </c>
      <c r="F393">
        <f t="shared" si="388"/>
        <v>1.1009610861894816</v>
      </c>
    </row>
    <row r="394" spans="1:6" x14ac:dyDescent="0.25">
      <c r="A394" t="str">
        <f t="shared" ref="A394" si="395">B394&amp;"_1"</f>
        <v>NHK_Mb_siRNA4uL_1</v>
      </c>
      <c r="B394" t="s">
        <v>78</v>
      </c>
      <c r="C394">
        <v>2474477</v>
      </c>
      <c r="D394">
        <v>180</v>
      </c>
      <c r="E394">
        <v>2248724</v>
      </c>
      <c r="F394">
        <f t="shared" si="388"/>
        <v>1.1003915998584086</v>
      </c>
    </row>
    <row r="395" spans="1:6" x14ac:dyDescent="0.25">
      <c r="A395" t="str">
        <f t="shared" ref="A395" si="396">B395&amp;"_2"</f>
        <v>NHK_Mb_siRNA4uL_2</v>
      </c>
      <c r="B395" t="s">
        <v>78</v>
      </c>
      <c r="C395">
        <v>2489836</v>
      </c>
      <c r="D395">
        <v>180</v>
      </c>
      <c r="E395">
        <v>2244265</v>
      </c>
      <c r="F395">
        <f t="shared" si="388"/>
        <v>1.1094215700908761</v>
      </c>
    </row>
    <row r="396" spans="1:6" x14ac:dyDescent="0.25">
      <c r="A396" t="str">
        <f t="shared" ref="A396" si="397">B396&amp;"_3"</f>
        <v>NHK_Mb_siRNA4uL_3</v>
      </c>
      <c r="B396" t="s">
        <v>78</v>
      </c>
      <c r="C396">
        <v>2530965</v>
      </c>
      <c r="D396">
        <v>180</v>
      </c>
      <c r="E396">
        <v>2272217</v>
      </c>
      <c r="F396">
        <f t="shared" si="388"/>
        <v>1.1138746871447578</v>
      </c>
    </row>
    <row r="397" spans="1:6" x14ac:dyDescent="0.25">
      <c r="A397" t="str">
        <f t="shared" ref="A397" si="398">B397&amp;"_4"</f>
        <v>NHK_Mb_siRNA4uL_4</v>
      </c>
      <c r="B397" t="s">
        <v>78</v>
      </c>
      <c r="C397">
        <v>2532928</v>
      </c>
      <c r="D397">
        <v>180</v>
      </c>
      <c r="E397">
        <v>2264209</v>
      </c>
      <c r="F397">
        <f t="shared" si="388"/>
        <v>1.1186811818166962</v>
      </c>
    </row>
    <row r="398" spans="1:6" x14ac:dyDescent="0.25">
      <c r="A398" t="str">
        <f t="shared" ref="A398" si="399">B398&amp;"_1"</f>
        <v>NHK_Mb_siRNA8uL_1</v>
      </c>
      <c r="B398" t="s">
        <v>79</v>
      </c>
      <c r="C398">
        <v>2230825</v>
      </c>
      <c r="D398">
        <v>2</v>
      </c>
      <c r="E398">
        <v>2230825</v>
      </c>
      <c r="F398">
        <f t="shared" si="388"/>
        <v>1</v>
      </c>
    </row>
    <row r="399" spans="1:6" x14ac:dyDescent="0.25">
      <c r="A399" t="str">
        <f t="shared" ref="A399" si="400">B399&amp;"_2"</f>
        <v>NHK_Mb_siRNA8uL_2</v>
      </c>
      <c r="B399" t="s">
        <v>79</v>
      </c>
      <c r="C399">
        <v>2238118</v>
      </c>
      <c r="D399">
        <v>2</v>
      </c>
      <c r="E399">
        <v>2238118</v>
      </c>
      <c r="F399">
        <f t="shared" si="388"/>
        <v>1</v>
      </c>
    </row>
    <row r="400" spans="1:6" x14ac:dyDescent="0.25">
      <c r="A400" t="str">
        <f t="shared" ref="A400" si="401">B400&amp;"_3"</f>
        <v>NHK_Mb_siRNA8uL_3</v>
      </c>
      <c r="B400" t="s">
        <v>79</v>
      </c>
      <c r="C400">
        <v>2271114</v>
      </c>
      <c r="D400">
        <v>2</v>
      </c>
      <c r="E400">
        <v>2271114</v>
      </c>
      <c r="F400">
        <f t="shared" si="388"/>
        <v>1</v>
      </c>
    </row>
    <row r="401" spans="1:6" x14ac:dyDescent="0.25">
      <c r="A401" t="str">
        <f t="shared" ref="A401" si="402">B401&amp;"_4"</f>
        <v>NHK_Mb_siRNA8uL_4</v>
      </c>
      <c r="B401" t="s">
        <v>79</v>
      </c>
      <c r="C401">
        <v>2284992</v>
      </c>
      <c r="D401">
        <v>2</v>
      </c>
      <c r="E401">
        <v>2284992</v>
      </c>
      <c r="F401">
        <f t="shared" si="388"/>
        <v>1</v>
      </c>
    </row>
    <row r="402" spans="1:6" x14ac:dyDescent="0.25">
      <c r="A402" t="str">
        <f t="shared" ref="A402" si="403">B402&amp;"_1"</f>
        <v>NHK_Mb_siRNA8uL_1</v>
      </c>
      <c r="B402" t="s">
        <v>79</v>
      </c>
      <c r="C402">
        <v>2206783</v>
      </c>
      <c r="D402">
        <v>10</v>
      </c>
      <c r="E402">
        <v>2230825</v>
      </c>
      <c r="F402">
        <f t="shared" si="388"/>
        <v>0.98922282115360904</v>
      </c>
    </row>
    <row r="403" spans="1:6" x14ac:dyDescent="0.25">
      <c r="A403" t="str">
        <f t="shared" ref="A403" si="404">B403&amp;"_2"</f>
        <v>NHK_Mb_siRNA8uL_2</v>
      </c>
      <c r="B403" t="s">
        <v>79</v>
      </c>
      <c r="C403">
        <v>2216588</v>
      </c>
      <c r="D403">
        <v>10</v>
      </c>
      <c r="E403">
        <v>2238118</v>
      </c>
      <c r="F403">
        <f t="shared" si="388"/>
        <v>0.99038031060024534</v>
      </c>
    </row>
    <row r="404" spans="1:6" x14ac:dyDescent="0.25">
      <c r="A404" t="str">
        <f t="shared" ref="A404" si="405">B404&amp;"_3"</f>
        <v>NHK_Mb_siRNA8uL_3</v>
      </c>
      <c r="B404" t="s">
        <v>79</v>
      </c>
      <c r="C404">
        <v>2235400</v>
      </c>
      <c r="D404">
        <v>10</v>
      </c>
      <c r="E404">
        <v>2271114</v>
      </c>
      <c r="F404">
        <f t="shared" si="388"/>
        <v>0.98427467753710296</v>
      </c>
    </row>
    <row r="405" spans="1:6" x14ac:dyDescent="0.25">
      <c r="A405" t="str">
        <f t="shared" ref="A405" si="406">B405&amp;"_4"</f>
        <v>NHK_Mb_siRNA8uL_4</v>
      </c>
      <c r="B405" t="s">
        <v>79</v>
      </c>
      <c r="C405">
        <v>2221067</v>
      </c>
      <c r="D405">
        <v>10</v>
      </c>
      <c r="E405">
        <v>2284992</v>
      </c>
      <c r="F405">
        <f t="shared" si="388"/>
        <v>0.97202397207517577</v>
      </c>
    </row>
    <row r="406" spans="1:6" x14ac:dyDescent="0.25">
      <c r="A406" t="str">
        <f t="shared" ref="A406" si="407">B406&amp;"_1"</f>
        <v>NHK_Mb_siRNA8uL_1</v>
      </c>
      <c r="B406" t="s">
        <v>79</v>
      </c>
      <c r="C406">
        <v>2253120</v>
      </c>
      <c r="D406">
        <v>20</v>
      </c>
      <c r="E406">
        <v>2230825</v>
      </c>
      <c r="F406">
        <f t="shared" si="388"/>
        <v>1.0099940604933153</v>
      </c>
    </row>
    <row r="407" spans="1:6" x14ac:dyDescent="0.25">
      <c r="A407" t="str">
        <f t="shared" ref="A407" si="408">B407&amp;"_2"</f>
        <v>NHK_Mb_siRNA8uL_2</v>
      </c>
      <c r="B407" t="s">
        <v>79</v>
      </c>
      <c r="C407">
        <v>2256707</v>
      </c>
      <c r="D407">
        <v>20</v>
      </c>
      <c r="E407">
        <v>2238118</v>
      </c>
      <c r="F407">
        <f t="shared" si="388"/>
        <v>1.0083056389341403</v>
      </c>
    </row>
    <row r="408" spans="1:6" x14ac:dyDescent="0.25">
      <c r="A408" t="str">
        <f t="shared" ref="A408" si="409">B408&amp;"_3"</f>
        <v>NHK_Mb_siRNA8uL_3</v>
      </c>
      <c r="B408" t="s">
        <v>79</v>
      </c>
      <c r="C408">
        <v>2277894</v>
      </c>
      <c r="D408">
        <v>20</v>
      </c>
      <c r="E408">
        <v>2271114</v>
      </c>
      <c r="F408">
        <f t="shared" si="388"/>
        <v>1.0029853190989091</v>
      </c>
    </row>
    <row r="409" spans="1:6" x14ac:dyDescent="0.25">
      <c r="A409" t="str">
        <f t="shared" ref="A409" si="410">B409&amp;"_4"</f>
        <v>NHK_Mb_siRNA8uL_4</v>
      </c>
      <c r="B409" t="s">
        <v>79</v>
      </c>
      <c r="C409">
        <v>2275104</v>
      </c>
      <c r="D409">
        <v>20</v>
      </c>
      <c r="E409">
        <v>2284992</v>
      </c>
      <c r="F409">
        <f t="shared" si="388"/>
        <v>0.99567263255188643</v>
      </c>
    </row>
    <row r="410" spans="1:6" x14ac:dyDescent="0.25">
      <c r="A410" t="str">
        <f t="shared" ref="A410" si="411">B410&amp;"_1"</f>
        <v>NHK_Mb_siRNA8uL_1</v>
      </c>
      <c r="B410" t="s">
        <v>79</v>
      </c>
      <c r="C410">
        <v>2306551</v>
      </c>
      <c r="D410">
        <v>30</v>
      </c>
      <c r="E410">
        <v>2230825</v>
      </c>
      <c r="F410">
        <f t="shared" si="388"/>
        <v>1.0339452892988019</v>
      </c>
    </row>
    <row r="411" spans="1:6" x14ac:dyDescent="0.25">
      <c r="A411" t="str">
        <f t="shared" ref="A411" si="412">B411&amp;"_2"</f>
        <v>NHK_Mb_siRNA8uL_2</v>
      </c>
      <c r="B411" t="s">
        <v>79</v>
      </c>
      <c r="C411">
        <v>2318202</v>
      </c>
      <c r="D411">
        <v>30</v>
      </c>
      <c r="E411">
        <v>2238118</v>
      </c>
      <c r="F411">
        <f t="shared" si="388"/>
        <v>1.0357818488569415</v>
      </c>
    </row>
    <row r="412" spans="1:6" x14ac:dyDescent="0.25">
      <c r="A412" t="str">
        <f t="shared" ref="A412" si="413">B412&amp;"_3"</f>
        <v>NHK_Mb_siRNA8uL_3</v>
      </c>
      <c r="B412" t="s">
        <v>79</v>
      </c>
      <c r="C412">
        <v>2334236</v>
      </c>
      <c r="D412">
        <v>30</v>
      </c>
      <c r="E412">
        <v>2271114</v>
      </c>
      <c r="F412">
        <f t="shared" si="388"/>
        <v>1.0277934088733547</v>
      </c>
    </row>
    <row r="413" spans="1:6" x14ac:dyDescent="0.25">
      <c r="A413" t="str">
        <f t="shared" ref="A413" si="414">B413&amp;"_4"</f>
        <v>NHK_Mb_siRNA8uL_4</v>
      </c>
      <c r="B413" t="s">
        <v>79</v>
      </c>
      <c r="C413">
        <v>2337111</v>
      </c>
      <c r="D413">
        <v>30</v>
      </c>
      <c r="E413">
        <v>2284992</v>
      </c>
      <c r="F413">
        <f t="shared" si="388"/>
        <v>1.0228092702293925</v>
      </c>
    </row>
    <row r="414" spans="1:6" x14ac:dyDescent="0.25">
      <c r="A414" t="str">
        <f t="shared" ref="A414" si="415">B414&amp;"_1"</f>
        <v>NHK_Mb_siRNA8uL_1</v>
      </c>
      <c r="B414" t="s">
        <v>79</v>
      </c>
      <c r="C414">
        <v>2361906</v>
      </c>
      <c r="D414">
        <v>60</v>
      </c>
      <c r="E414">
        <v>2230825</v>
      </c>
      <c r="F414">
        <f t="shared" si="388"/>
        <v>1.0587589793013796</v>
      </c>
    </row>
    <row r="415" spans="1:6" x14ac:dyDescent="0.25">
      <c r="A415" t="str">
        <f t="shared" ref="A415" si="416">B415&amp;"_2"</f>
        <v>NHK_Mb_siRNA8uL_2</v>
      </c>
      <c r="B415" t="s">
        <v>79</v>
      </c>
      <c r="C415">
        <v>2387456</v>
      </c>
      <c r="D415">
        <v>60</v>
      </c>
      <c r="E415">
        <v>2238118</v>
      </c>
      <c r="F415">
        <f t="shared" si="388"/>
        <v>1.06672481075618</v>
      </c>
    </row>
    <row r="416" spans="1:6" x14ac:dyDescent="0.25">
      <c r="A416" t="str">
        <f t="shared" ref="A416" si="417">B416&amp;"_3"</f>
        <v>NHK_Mb_siRNA8uL_3</v>
      </c>
      <c r="B416" t="s">
        <v>79</v>
      </c>
      <c r="C416">
        <v>2406067</v>
      </c>
      <c r="D416">
        <v>60</v>
      </c>
      <c r="E416">
        <v>2271114</v>
      </c>
      <c r="F416">
        <f t="shared" si="388"/>
        <v>1.0594214997573879</v>
      </c>
    </row>
    <row r="417" spans="1:6" x14ac:dyDescent="0.25">
      <c r="A417" t="str">
        <f t="shared" ref="A417" si="418">B417&amp;"_4"</f>
        <v>NHK_Mb_siRNA8uL_4</v>
      </c>
      <c r="B417" t="s">
        <v>79</v>
      </c>
      <c r="C417">
        <v>2413824</v>
      </c>
      <c r="D417">
        <v>60</v>
      </c>
      <c r="E417">
        <v>2284992</v>
      </c>
      <c r="F417">
        <f t="shared" si="388"/>
        <v>1.0563818166540626</v>
      </c>
    </row>
    <row r="418" spans="1:6" x14ac:dyDescent="0.25">
      <c r="A418" t="str">
        <f t="shared" ref="A418" si="419">B418&amp;"_1"</f>
        <v>NHK_Mb_siRNA8uL_1</v>
      </c>
      <c r="B418" t="s">
        <v>79</v>
      </c>
      <c r="C418">
        <v>2378803</v>
      </c>
      <c r="D418">
        <v>90</v>
      </c>
      <c r="E418">
        <v>2230825</v>
      </c>
      <c r="F418">
        <f t="shared" si="388"/>
        <v>1.0663333071845618</v>
      </c>
    </row>
    <row r="419" spans="1:6" x14ac:dyDescent="0.25">
      <c r="A419" t="str">
        <f t="shared" ref="A419" si="420">B419&amp;"_2"</f>
        <v>NHK_Mb_siRNA8uL_2</v>
      </c>
      <c r="B419" t="s">
        <v>79</v>
      </c>
      <c r="C419">
        <v>2417835</v>
      </c>
      <c r="D419">
        <v>90</v>
      </c>
      <c r="E419">
        <v>2238118</v>
      </c>
      <c r="F419">
        <f t="shared" si="388"/>
        <v>1.0802982684559082</v>
      </c>
    </row>
    <row r="420" spans="1:6" x14ac:dyDescent="0.25">
      <c r="A420" t="str">
        <f t="shared" ref="A420" si="421">B420&amp;"_3"</f>
        <v>NHK_Mb_siRNA8uL_3</v>
      </c>
      <c r="B420" t="s">
        <v>79</v>
      </c>
      <c r="C420">
        <v>2447429</v>
      </c>
      <c r="D420">
        <v>90</v>
      </c>
      <c r="E420">
        <v>2271114</v>
      </c>
      <c r="F420">
        <f t="shared" si="388"/>
        <v>1.0776337075109397</v>
      </c>
    </row>
    <row r="421" spans="1:6" x14ac:dyDescent="0.25">
      <c r="A421" t="str">
        <f t="shared" ref="A421" si="422">B421&amp;"_4"</f>
        <v>NHK_Mb_siRNA8uL_4</v>
      </c>
      <c r="B421" t="s">
        <v>79</v>
      </c>
      <c r="C421">
        <v>2452915</v>
      </c>
      <c r="D421">
        <v>90</v>
      </c>
      <c r="E421">
        <v>2284992</v>
      </c>
      <c r="F421">
        <f t="shared" si="388"/>
        <v>1.0734895351931211</v>
      </c>
    </row>
    <row r="422" spans="1:6" x14ac:dyDescent="0.25">
      <c r="A422" t="str">
        <f t="shared" ref="A422" si="423">B422&amp;"_1"</f>
        <v>NHK_Mb_siRNA8uL_1</v>
      </c>
      <c r="B422" t="s">
        <v>79</v>
      </c>
      <c r="C422">
        <v>2434583</v>
      </c>
      <c r="D422">
        <v>120</v>
      </c>
      <c r="E422">
        <v>2230825</v>
      </c>
      <c r="F422">
        <f t="shared" si="388"/>
        <v>1.0913375096657065</v>
      </c>
    </row>
    <row r="423" spans="1:6" x14ac:dyDescent="0.25">
      <c r="A423" t="str">
        <f t="shared" ref="A423" si="424">B423&amp;"_2"</f>
        <v>NHK_Mb_siRNA8uL_2</v>
      </c>
      <c r="B423" t="s">
        <v>79</v>
      </c>
      <c r="C423">
        <v>2450465</v>
      </c>
      <c r="D423">
        <v>120</v>
      </c>
      <c r="E423">
        <v>2238118</v>
      </c>
      <c r="F423">
        <f t="shared" si="388"/>
        <v>1.0948774818843332</v>
      </c>
    </row>
    <row r="424" spans="1:6" x14ac:dyDescent="0.25">
      <c r="A424" t="str">
        <f t="shared" ref="A424" si="425">B424&amp;"_3"</f>
        <v>NHK_Mb_siRNA8uL_3</v>
      </c>
      <c r="B424" t="s">
        <v>79</v>
      </c>
      <c r="C424">
        <v>2485527</v>
      </c>
      <c r="D424">
        <v>120</v>
      </c>
      <c r="E424">
        <v>2271114</v>
      </c>
      <c r="F424">
        <f t="shared" si="388"/>
        <v>1.0944087350965208</v>
      </c>
    </row>
    <row r="425" spans="1:6" x14ac:dyDescent="0.25">
      <c r="A425" t="str">
        <f t="shared" ref="A425" si="426">B425&amp;"_4"</f>
        <v>NHK_Mb_siRNA8uL_4</v>
      </c>
      <c r="B425" t="s">
        <v>79</v>
      </c>
      <c r="C425">
        <v>2471683</v>
      </c>
      <c r="D425">
        <v>120</v>
      </c>
      <c r="E425">
        <v>2284992</v>
      </c>
      <c r="F425">
        <f t="shared" si="388"/>
        <v>1.0817031306892979</v>
      </c>
    </row>
    <row r="426" spans="1:6" x14ac:dyDescent="0.25">
      <c r="A426" t="str">
        <f t="shared" ref="A426" si="427">B426&amp;"_1"</f>
        <v>NHK_Mb_siRNA8uL_1</v>
      </c>
      <c r="B426" t="s">
        <v>79</v>
      </c>
      <c r="C426">
        <v>2454573</v>
      </c>
      <c r="D426">
        <v>150</v>
      </c>
      <c r="E426">
        <v>2230825</v>
      </c>
      <c r="F426">
        <f t="shared" si="388"/>
        <v>1.1002983201282037</v>
      </c>
    </row>
    <row r="427" spans="1:6" x14ac:dyDescent="0.25">
      <c r="A427" t="str">
        <f t="shared" ref="A427" si="428">B427&amp;"_2"</f>
        <v>NHK_Mb_siRNA8uL_2</v>
      </c>
      <c r="B427" t="s">
        <v>79</v>
      </c>
      <c r="C427">
        <v>2478459</v>
      </c>
      <c r="D427">
        <v>150</v>
      </c>
      <c r="E427">
        <v>2238118</v>
      </c>
      <c r="F427">
        <f t="shared" si="388"/>
        <v>1.1073853121238468</v>
      </c>
    </row>
    <row r="428" spans="1:6" x14ac:dyDescent="0.25">
      <c r="A428" t="str">
        <f t="shared" ref="A428" si="429">B428&amp;"_3"</f>
        <v>NHK_Mb_siRNA8uL_3</v>
      </c>
      <c r="B428" t="s">
        <v>79</v>
      </c>
      <c r="C428">
        <v>2516906</v>
      </c>
      <c r="D428">
        <v>150</v>
      </c>
      <c r="E428">
        <v>2271114</v>
      </c>
      <c r="F428">
        <f t="shared" si="388"/>
        <v>1.1082253026488322</v>
      </c>
    </row>
    <row r="429" spans="1:6" x14ac:dyDescent="0.25">
      <c r="A429" t="str">
        <f t="shared" ref="A429" si="430">B429&amp;"_4"</f>
        <v>NHK_Mb_siRNA8uL_4</v>
      </c>
      <c r="B429" t="s">
        <v>79</v>
      </c>
      <c r="C429">
        <v>2509808</v>
      </c>
      <c r="D429">
        <v>150</v>
      </c>
      <c r="E429">
        <v>2284992</v>
      </c>
      <c r="F429">
        <f t="shared" si="388"/>
        <v>1.0983880906366412</v>
      </c>
    </row>
    <row r="430" spans="1:6" x14ac:dyDescent="0.25">
      <c r="A430" t="str">
        <f t="shared" ref="A430" si="431">B430&amp;"_1"</f>
        <v>NHK_Mb_siRNA8uL_1</v>
      </c>
      <c r="B430" t="s">
        <v>79</v>
      </c>
      <c r="C430">
        <v>2478376</v>
      </c>
      <c r="D430">
        <v>180</v>
      </c>
      <c r="E430">
        <v>2230825</v>
      </c>
      <c r="F430">
        <f t="shared" si="388"/>
        <v>1.1109683637219414</v>
      </c>
    </row>
    <row r="431" spans="1:6" x14ac:dyDescent="0.25">
      <c r="A431" t="str">
        <f t="shared" ref="A431" si="432">B431&amp;"_2"</f>
        <v>NHK_Mb_siRNA8uL_2</v>
      </c>
      <c r="B431" t="s">
        <v>79</v>
      </c>
      <c r="C431">
        <v>2514170</v>
      </c>
      <c r="D431">
        <v>180</v>
      </c>
      <c r="E431">
        <v>2238118</v>
      </c>
      <c r="F431">
        <f t="shared" si="388"/>
        <v>1.1233411285732031</v>
      </c>
    </row>
    <row r="432" spans="1:6" x14ac:dyDescent="0.25">
      <c r="A432" t="str">
        <f t="shared" ref="A432" si="433">B432&amp;"_3"</f>
        <v>NHK_Mb_siRNA8uL_3</v>
      </c>
      <c r="B432" t="s">
        <v>79</v>
      </c>
      <c r="C432">
        <v>2535209</v>
      </c>
      <c r="D432">
        <v>180</v>
      </c>
      <c r="E432">
        <v>2271114</v>
      </c>
      <c r="F432">
        <f t="shared" si="388"/>
        <v>1.1162843432782326</v>
      </c>
    </row>
    <row r="433" spans="1:6" x14ac:dyDescent="0.25">
      <c r="A433" t="str">
        <f t="shared" ref="A433" si="434">B433&amp;"_4"</f>
        <v>NHK_Mb_siRNA8uL_4</v>
      </c>
      <c r="B433" t="s">
        <v>79</v>
      </c>
      <c r="C433">
        <v>2528975</v>
      </c>
      <c r="D433">
        <v>180</v>
      </c>
      <c r="E433">
        <v>2284992</v>
      </c>
      <c r="F433">
        <f t="shared" si="388"/>
        <v>1.1067763038120046</v>
      </c>
    </row>
    <row r="434" spans="1:6" x14ac:dyDescent="0.25">
      <c r="A434" t="str">
        <f t="shared" ref="A434" si="435">B434&amp;"_1"</f>
        <v>Mb_1</v>
      </c>
      <c r="B434" t="s">
        <v>80</v>
      </c>
      <c r="C434">
        <v>2313496</v>
      </c>
      <c r="D434">
        <v>2</v>
      </c>
      <c r="E434">
        <v>2313496</v>
      </c>
      <c r="F434">
        <f t="shared" si="388"/>
        <v>1</v>
      </c>
    </row>
    <row r="435" spans="1:6" x14ac:dyDescent="0.25">
      <c r="A435" t="str">
        <f t="shared" ref="A435" si="436">B435&amp;"_2"</f>
        <v>Mb_2</v>
      </c>
      <c r="B435" t="s">
        <v>80</v>
      </c>
      <c r="C435">
        <v>2282108</v>
      </c>
      <c r="D435">
        <v>2</v>
      </c>
      <c r="E435">
        <v>2282108</v>
      </c>
      <c r="F435">
        <f t="shared" si="388"/>
        <v>1</v>
      </c>
    </row>
    <row r="436" spans="1:6" x14ac:dyDescent="0.25">
      <c r="A436" t="str">
        <f t="shared" ref="A436" si="437">B436&amp;"_3"</f>
        <v>Mb_3</v>
      </c>
      <c r="B436" t="s">
        <v>80</v>
      </c>
      <c r="C436">
        <v>2286861</v>
      </c>
      <c r="D436">
        <v>2</v>
      </c>
      <c r="E436">
        <v>2286861</v>
      </c>
      <c r="F436">
        <f t="shared" si="388"/>
        <v>1</v>
      </c>
    </row>
    <row r="437" spans="1:6" x14ac:dyDescent="0.25">
      <c r="A437" t="str">
        <f t="shared" ref="A437" si="438">B437&amp;"_4"</f>
        <v>Mb_4</v>
      </c>
      <c r="B437" t="s">
        <v>80</v>
      </c>
      <c r="C437">
        <v>2297398</v>
      </c>
      <c r="D437">
        <v>2</v>
      </c>
      <c r="E437">
        <v>2297398</v>
      </c>
      <c r="F437">
        <f t="shared" si="388"/>
        <v>1</v>
      </c>
    </row>
    <row r="438" spans="1:6" x14ac:dyDescent="0.25">
      <c r="A438" t="str">
        <f t="shared" ref="A438" si="439">B438&amp;"_1"</f>
        <v>Mb_1</v>
      </c>
      <c r="B438" t="s">
        <v>80</v>
      </c>
      <c r="C438">
        <v>2213360</v>
      </c>
      <c r="D438">
        <v>10</v>
      </c>
      <c r="E438">
        <v>2313496</v>
      </c>
      <c r="F438">
        <f t="shared" si="388"/>
        <v>0.95671658822837813</v>
      </c>
    </row>
    <row r="439" spans="1:6" x14ac:dyDescent="0.25">
      <c r="A439" t="str">
        <f t="shared" ref="A439" si="440">B439&amp;"_2"</f>
        <v>Mb_2</v>
      </c>
      <c r="B439" t="s">
        <v>80</v>
      </c>
      <c r="C439">
        <v>2254849</v>
      </c>
      <c r="D439">
        <v>10</v>
      </c>
      <c r="E439">
        <v>2282108</v>
      </c>
      <c r="F439">
        <f t="shared" si="388"/>
        <v>0.98805534181554944</v>
      </c>
    </row>
    <row r="440" spans="1:6" x14ac:dyDescent="0.25">
      <c r="A440" t="str">
        <f t="shared" ref="A440" si="441">B440&amp;"_3"</f>
        <v>Mb_3</v>
      </c>
      <c r="B440" t="s">
        <v>80</v>
      </c>
      <c r="C440">
        <v>2240507</v>
      </c>
      <c r="D440">
        <v>10</v>
      </c>
      <c r="E440">
        <v>2286861</v>
      </c>
      <c r="F440">
        <f t="shared" si="388"/>
        <v>0.97973029405809975</v>
      </c>
    </row>
    <row r="441" spans="1:6" x14ac:dyDescent="0.25">
      <c r="A441" t="str">
        <f t="shared" ref="A441" si="442">B441&amp;"_4"</f>
        <v>Mb_4</v>
      </c>
      <c r="B441" t="s">
        <v>80</v>
      </c>
      <c r="C441">
        <v>2214906</v>
      </c>
      <c r="D441">
        <v>10</v>
      </c>
      <c r="E441">
        <v>2297398</v>
      </c>
      <c r="F441">
        <f t="shared" si="388"/>
        <v>0.96409329162818114</v>
      </c>
    </row>
    <row r="442" spans="1:6" x14ac:dyDescent="0.25">
      <c r="A442" t="str">
        <f t="shared" ref="A442" si="443">B442&amp;"_1"</f>
        <v>Mb_1</v>
      </c>
      <c r="B442" t="s">
        <v>80</v>
      </c>
      <c r="C442">
        <v>2202209</v>
      </c>
      <c r="D442">
        <v>20</v>
      </c>
      <c r="E442">
        <v>2313496</v>
      </c>
      <c r="F442">
        <f t="shared" si="388"/>
        <v>0.95189661015190863</v>
      </c>
    </row>
    <row r="443" spans="1:6" x14ac:dyDescent="0.25">
      <c r="A443" t="str">
        <f t="shared" ref="A443" si="444">B443&amp;"_2"</f>
        <v>Mb_2</v>
      </c>
      <c r="B443" t="s">
        <v>80</v>
      </c>
      <c r="C443">
        <v>2214558</v>
      </c>
      <c r="D443">
        <v>20</v>
      </c>
      <c r="E443">
        <v>2282108</v>
      </c>
      <c r="F443">
        <f t="shared" si="388"/>
        <v>0.9704001738743302</v>
      </c>
    </row>
    <row r="444" spans="1:6" x14ac:dyDescent="0.25">
      <c r="A444" t="str">
        <f t="shared" ref="A444" si="445">B444&amp;"_3"</f>
        <v>Mb_3</v>
      </c>
      <c r="B444" t="s">
        <v>80</v>
      </c>
      <c r="C444">
        <v>2260049</v>
      </c>
      <c r="D444">
        <v>20</v>
      </c>
      <c r="E444">
        <v>2286861</v>
      </c>
      <c r="F444">
        <f t="shared" si="388"/>
        <v>0.98827563196888657</v>
      </c>
    </row>
    <row r="445" spans="1:6" x14ac:dyDescent="0.25">
      <c r="A445" t="str">
        <f t="shared" ref="A445" si="446">B445&amp;"_4"</f>
        <v>Mb_4</v>
      </c>
      <c r="B445" t="s">
        <v>80</v>
      </c>
      <c r="C445">
        <v>2181885</v>
      </c>
      <c r="D445">
        <v>20</v>
      </c>
      <c r="E445">
        <v>2297398</v>
      </c>
      <c r="F445">
        <f t="shared" si="388"/>
        <v>0.94972007462355235</v>
      </c>
    </row>
    <row r="446" spans="1:6" x14ac:dyDescent="0.25">
      <c r="A446" t="str">
        <f t="shared" ref="A446" si="447">B446&amp;"_1"</f>
        <v>Mb_1</v>
      </c>
      <c r="B446" t="s">
        <v>80</v>
      </c>
      <c r="C446">
        <v>2191166</v>
      </c>
      <c r="D446">
        <v>30</v>
      </c>
      <c r="E446">
        <v>2313496</v>
      </c>
      <c r="F446">
        <f t="shared" si="388"/>
        <v>0.94712331467182131</v>
      </c>
    </row>
    <row r="447" spans="1:6" x14ac:dyDescent="0.25">
      <c r="A447" t="str">
        <f t="shared" ref="A447" si="448">B447&amp;"_2"</f>
        <v>Mb_2</v>
      </c>
      <c r="B447" t="s">
        <v>80</v>
      </c>
      <c r="C447">
        <v>2185416</v>
      </c>
      <c r="D447">
        <v>30</v>
      </c>
      <c r="E447">
        <v>2282108</v>
      </c>
      <c r="F447">
        <f t="shared" si="388"/>
        <v>0.95763040136575484</v>
      </c>
    </row>
    <row r="448" spans="1:6" x14ac:dyDescent="0.25">
      <c r="A448" t="str">
        <f t="shared" ref="A448" si="449">B448&amp;"_3"</f>
        <v>Mb_3</v>
      </c>
      <c r="B448" t="s">
        <v>80</v>
      </c>
      <c r="C448">
        <v>2185362</v>
      </c>
      <c r="D448">
        <v>30</v>
      </c>
      <c r="E448">
        <v>2286861</v>
      </c>
      <c r="F448">
        <f t="shared" si="388"/>
        <v>0.95561645417014851</v>
      </c>
    </row>
    <row r="449" spans="1:6" x14ac:dyDescent="0.25">
      <c r="A449" t="str">
        <f t="shared" ref="A449" si="450">B449&amp;"_4"</f>
        <v>Mb_4</v>
      </c>
      <c r="B449" t="s">
        <v>80</v>
      </c>
      <c r="C449">
        <v>2196308</v>
      </c>
      <c r="D449">
        <v>30</v>
      </c>
      <c r="E449">
        <v>2297398</v>
      </c>
      <c r="F449">
        <f t="shared" si="388"/>
        <v>0.95599804648563291</v>
      </c>
    </row>
    <row r="450" spans="1:6" x14ac:dyDescent="0.25">
      <c r="A450" t="str">
        <f t="shared" ref="A450" si="451">B450&amp;"_1"</f>
        <v>Mb_1</v>
      </c>
      <c r="B450" t="s">
        <v>80</v>
      </c>
      <c r="C450">
        <v>2129609</v>
      </c>
      <c r="D450">
        <v>60</v>
      </c>
      <c r="E450">
        <v>2313496</v>
      </c>
      <c r="F450">
        <f t="shared" si="388"/>
        <v>0.92051553147271492</v>
      </c>
    </row>
    <row r="451" spans="1:6" x14ac:dyDescent="0.25">
      <c r="A451" t="str">
        <f t="shared" ref="A451" si="452">B451&amp;"_2"</f>
        <v>Mb_2</v>
      </c>
      <c r="B451" t="s">
        <v>80</v>
      </c>
      <c r="C451">
        <v>2116163</v>
      </c>
      <c r="D451">
        <v>60</v>
      </c>
      <c r="E451">
        <v>2282108</v>
      </c>
      <c r="F451">
        <f t="shared" ref="F451:F469" si="453">C451/E451</f>
        <v>0.92728433536011445</v>
      </c>
    </row>
    <row r="452" spans="1:6" x14ac:dyDescent="0.25">
      <c r="A452" t="str">
        <f t="shared" ref="A452" si="454">B452&amp;"_3"</f>
        <v>Mb_3</v>
      </c>
      <c r="B452" t="s">
        <v>80</v>
      </c>
      <c r="C452">
        <v>2085757</v>
      </c>
      <c r="D452">
        <v>60</v>
      </c>
      <c r="E452">
        <v>2286861</v>
      </c>
      <c r="F452">
        <f t="shared" si="453"/>
        <v>0.91206111783794463</v>
      </c>
    </row>
    <row r="453" spans="1:6" x14ac:dyDescent="0.25">
      <c r="A453" t="str">
        <f t="shared" ref="A453" si="455">B453&amp;"_4"</f>
        <v>Mb_4</v>
      </c>
      <c r="B453" t="s">
        <v>80</v>
      </c>
      <c r="C453">
        <v>2100415</v>
      </c>
      <c r="D453">
        <v>60</v>
      </c>
      <c r="E453">
        <v>2297398</v>
      </c>
      <c r="F453">
        <f t="shared" si="453"/>
        <v>0.91425821733979051</v>
      </c>
    </row>
    <row r="454" spans="1:6" x14ac:dyDescent="0.25">
      <c r="A454" t="str">
        <f t="shared" ref="A454" si="456">B454&amp;"_1"</f>
        <v>Mb_1</v>
      </c>
      <c r="B454" t="s">
        <v>80</v>
      </c>
      <c r="C454">
        <v>2078603</v>
      </c>
      <c r="D454">
        <v>90</v>
      </c>
      <c r="E454">
        <v>2313496</v>
      </c>
      <c r="F454">
        <f t="shared" si="453"/>
        <v>0.8984683785923987</v>
      </c>
    </row>
    <row r="455" spans="1:6" x14ac:dyDescent="0.25">
      <c r="A455" t="str">
        <f t="shared" ref="A455" si="457">B455&amp;"_2"</f>
        <v>Mb_2</v>
      </c>
      <c r="B455" t="s">
        <v>80</v>
      </c>
      <c r="C455">
        <v>2042750</v>
      </c>
      <c r="D455">
        <v>90</v>
      </c>
      <c r="E455">
        <v>2282108</v>
      </c>
      <c r="F455">
        <f t="shared" si="453"/>
        <v>0.89511539331179768</v>
      </c>
    </row>
    <row r="456" spans="1:6" x14ac:dyDescent="0.25">
      <c r="A456" t="str">
        <f t="shared" ref="A456" si="458">B456&amp;"_3"</f>
        <v>Mb_3</v>
      </c>
      <c r="B456" t="s">
        <v>80</v>
      </c>
      <c r="C456">
        <v>2053578</v>
      </c>
      <c r="D456">
        <v>90</v>
      </c>
      <c r="E456">
        <v>2286861</v>
      </c>
      <c r="F456">
        <f t="shared" si="453"/>
        <v>0.8979898647097484</v>
      </c>
    </row>
    <row r="457" spans="1:6" x14ac:dyDescent="0.25">
      <c r="A457" t="str">
        <f t="shared" ref="A457" si="459">B457&amp;"_4"</f>
        <v>Mb_4</v>
      </c>
      <c r="B457" t="s">
        <v>80</v>
      </c>
      <c r="C457">
        <v>2029057</v>
      </c>
      <c r="D457">
        <v>90</v>
      </c>
      <c r="E457">
        <v>2297398</v>
      </c>
      <c r="F457">
        <f t="shared" si="453"/>
        <v>0.88319786123257704</v>
      </c>
    </row>
    <row r="458" spans="1:6" x14ac:dyDescent="0.25">
      <c r="A458" t="str">
        <f t="shared" ref="A458" si="460">B458&amp;"_1"</f>
        <v>Mb_1</v>
      </c>
      <c r="B458" t="s">
        <v>80</v>
      </c>
      <c r="C458">
        <v>2053300</v>
      </c>
      <c r="D458">
        <v>120</v>
      </c>
      <c r="E458">
        <v>2313496</v>
      </c>
      <c r="F458">
        <f t="shared" si="453"/>
        <v>0.88753125140480038</v>
      </c>
    </row>
    <row r="459" spans="1:6" x14ac:dyDescent="0.25">
      <c r="A459" t="str">
        <f t="shared" ref="A459" si="461">B459&amp;"_2"</f>
        <v>Mb_2</v>
      </c>
      <c r="B459" t="s">
        <v>80</v>
      </c>
      <c r="C459">
        <v>2028830</v>
      </c>
      <c r="D459">
        <v>120</v>
      </c>
      <c r="E459">
        <v>2282108</v>
      </c>
      <c r="F459">
        <f t="shared" si="453"/>
        <v>0.88901576963053452</v>
      </c>
    </row>
    <row r="460" spans="1:6" x14ac:dyDescent="0.25">
      <c r="A460" t="str">
        <f t="shared" ref="A460" si="462">B460&amp;"_3"</f>
        <v>Mb_3</v>
      </c>
      <c r="B460" t="s">
        <v>80</v>
      </c>
      <c r="C460">
        <v>2032619</v>
      </c>
      <c r="D460">
        <v>120</v>
      </c>
      <c r="E460">
        <v>2286861</v>
      </c>
      <c r="F460">
        <f t="shared" si="453"/>
        <v>0.88882490015790205</v>
      </c>
    </row>
    <row r="461" spans="1:6" x14ac:dyDescent="0.25">
      <c r="A461" t="str">
        <f t="shared" ref="A461" si="463">B461&amp;"_4"</f>
        <v>Mb_4</v>
      </c>
      <c r="B461" t="s">
        <v>80</v>
      </c>
      <c r="C461">
        <v>1996315</v>
      </c>
      <c r="D461">
        <v>120</v>
      </c>
      <c r="E461">
        <v>2297398</v>
      </c>
      <c r="F461">
        <f t="shared" si="453"/>
        <v>0.86894608596333767</v>
      </c>
    </row>
    <row r="462" spans="1:6" x14ac:dyDescent="0.25">
      <c r="A462" t="str">
        <f t="shared" ref="A462" si="464">B462&amp;"_1"</f>
        <v>Mb_1</v>
      </c>
      <c r="B462" t="s">
        <v>80</v>
      </c>
      <c r="C462">
        <v>2048915</v>
      </c>
      <c r="D462">
        <v>150</v>
      </c>
      <c r="E462">
        <v>2313496</v>
      </c>
      <c r="F462">
        <f t="shared" si="453"/>
        <v>0.88563585154242752</v>
      </c>
    </row>
    <row r="463" spans="1:6" x14ac:dyDescent="0.25">
      <c r="A463" t="str">
        <f t="shared" ref="A463" si="465">B463&amp;"_2"</f>
        <v>Mb_2</v>
      </c>
      <c r="B463" t="s">
        <v>80</v>
      </c>
      <c r="C463">
        <v>1998765</v>
      </c>
      <c r="D463">
        <v>150</v>
      </c>
      <c r="E463">
        <v>2282108</v>
      </c>
      <c r="F463">
        <f t="shared" si="453"/>
        <v>0.87584154649999035</v>
      </c>
    </row>
    <row r="464" spans="1:6" x14ac:dyDescent="0.25">
      <c r="A464" t="str">
        <f t="shared" ref="A464" si="466">B464&amp;"_3"</f>
        <v>Mb_3</v>
      </c>
      <c r="B464" t="s">
        <v>80</v>
      </c>
      <c r="C464">
        <v>1995229</v>
      </c>
      <c r="D464">
        <v>150</v>
      </c>
      <c r="E464">
        <v>2286861</v>
      </c>
      <c r="F464">
        <f t="shared" si="453"/>
        <v>0.87247497770962035</v>
      </c>
    </row>
    <row r="465" spans="1:6" x14ac:dyDescent="0.25">
      <c r="A465" t="str">
        <f t="shared" ref="A465" si="467">B465&amp;"_4"</f>
        <v>Mb_4</v>
      </c>
      <c r="B465" t="s">
        <v>80</v>
      </c>
      <c r="C465">
        <v>1965187</v>
      </c>
      <c r="D465">
        <v>150</v>
      </c>
      <c r="E465">
        <v>2297398</v>
      </c>
      <c r="F465">
        <f t="shared" si="453"/>
        <v>0.85539684460420007</v>
      </c>
    </row>
    <row r="466" spans="1:6" x14ac:dyDescent="0.25">
      <c r="A466" t="str">
        <f t="shared" ref="A466" si="468">B466&amp;"_1"</f>
        <v>Mb_1</v>
      </c>
      <c r="B466" t="s">
        <v>80</v>
      </c>
      <c r="C466">
        <v>2011726</v>
      </c>
      <c r="D466">
        <v>180</v>
      </c>
      <c r="E466">
        <v>2313496</v>
      </c>
      <c r="F466">
        <f t="shared" si="453"/>
        <v>0.8695610452752025</v>
      </c>
    </row>
    <row r="467" spans="1:6" x14ac:dyDescent="0.25">
      <c r="A467" t="str">
        <f t="shared" ref="A467" si="469">B467&amp;"_2"</f>
        <v>Mb_2</v>
      </c>
      <c r="B467" t="s">
        <v>80</v>
      </c>
      <c r="C467">
        <v>1980336</v>
      </c>
      <c r="D467">
        <v>180</v>
      </c>
      <c r="E467">
        <v>2282108</v>
      </c>
      <c r="F467">
        <f t="shared" si="453"/>
        <v>0.8677661179926629</v>
      </c>
    </row>
    <row r="468" spans="1:6" x14ac:dyDescent="0.25">
      <c r="A468" t="str">
        <f t="shared" ref="A468" si="470">B468&amp;"_3"</f>
        <v>Mb_3</v>
      </c>
      <c r="B468" t="s">
        <v>80</v>
      </c>
      <c r="C468">
        <v>1977043</v>
      </c>
      <c r="D468">
        <v>180</v>
      </c>
      <c r="E468">
        <v>2286861</v>
      </c>
      <c r="F468">
        <f t="shared" si="453"/>
        <v>0.86452259232196449</v>
      </c>
    </row>
    <row r="469" spans="1:6" x14ac:dyDescent="0.25">
      <c r="A469" t="str">
        <f t="shared" ref="A469" si="471">B469&amp;"_4"</f>
        <v>Mb_4</v>
      </c>
      <c r="B469" t="s">
        <v>80</v>
      </c>
      <c r="C469">
        <v>1940844</v>
      </c>
      <c r="D469">
        <v>180</v>
      </c>
      <c r="E469">
        <v>2297398</v>
      </c>
      <c r="F469">
        <f t="shared" si="453"/>
        <v>0.8448009443727208</v>
      </c>
    </row>
    <row r="470" spans="1:6" x14ac:dyDescent="0.25">
      <c r="A470" t="s">
        <v>0</v>
      </c>
      <c r="B470" t="s">
        <v>81</v>
      </c>
    </row>
    <row r="471" spans="1:6" x14ac:dyDescent="0.25">
      <c r="A471" t="s">
        <v>0</v>
      </c>
      <c r="B471" t="s">
        <v>66</v>
      </c>
    </row>
  </sheetData>
  <autoFilter ref="A1:F471" xr:uid="{CBD12FE7-6F77-4065-BD28-1792EB84213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D441-C179-4F14-BD89-EA707BD31DF5}">
  <dimension ref="A1:F17"/>
  <sheetViews>
    <sheetView workbookViewId="0">
      <selection activeCell="J9" sqref="J9"/>
    </sheetView>
  </sheetViews>
  <sheetFormatPr defaultRowHeight="15" x14ac:dyDescent="0.25"/>
  <cols>
    <col min="1" max="1" width="18.140625" customWidth="1"/>
    <col min="2" max="2" width="14.5703125" customWidth="1"/>
  </cols>
  <sheetData>
    <row r="1" spans="1:6" x14ac:dyDescent="0.25">
      <c r="A1" t="s">
        <v>3</v>
      </c>
      <c r="B1" t="s">
        <v>8</v>
      </c>
      <c r="C1" t="s">
        <v>20</v>
      </c>
      <c r="D1" t="s">
        <v>21</v>
      </c>
      <c r="E1" t="s">
        <v>23</v>
      </c>
      <c r="F1" t="s">
        <v>22</v>
      </c>
    </row>
    <row r="2" spans="1:6" x14ac:dyDescent="0.25">
      <c r="A2" t="s">
        <v>212</v>
      </c>
      <c r="B2" t="s">
        <v>228</v>
      </c>
      <c r="F2">
        <v>0.86981657753010821</v>
      </c>
    </row>
    <row r="3" spans="1:6" x14ac:dyDescent="0.25">
      <c r="A3" t="s">
        <v>213</v>
      </c>
      <c r="B3" t="s">
        <v>228</v>
      </c>
      <c r="F3">
        <v>1.0978829065893771</v>
      </c>
    </row>
    <row r="4" spans="1:6" x14ac:dyDescent="0.25">
      <c r="A4" t="s">
        <v>214</v>
      </c>
      <c r="B4" t="s">
        <v>228</v>
      </c>
      <c r="F4">
        <v>0.75433130501105694</v>
      </c>
    </row>
    <row r="5" spans="1:6" x14ac:dyDescent="0.25">
      <c r="A5" t="s">
        <v>215</v>
      </c>
      <c r="B5" t="s">
        <v>229</v>
      </c>
      <c r="F5">
        <v>0.95980977113961319</v>
      </c>
    </row>
    <row r="6" spans="1:6" x14ac:dyDescent="0.25">
      <c r="A6" t="s">
        <v>216</v>
      </c>
      <c r="B6" t="s">
        <v>230</v>
      </c>
      <c r="F6">
        <v>0.86533364100271926</v>
      </c>
    </row>
    <row r="7" spans="1:6" x14ac:dyDescent="0.25">
      <c r="A7" t="s">
        <v>217</v>
      </c>
      <c r="B7" t="s">
        <v>229</v>
      </c>
      <c r="F7">
        <v>1.0914323152547429</v>
      </c>
    </row>
    <row r="8" spans="1:6" x14ac:dyDescent="0.25">
      <c r="A8" t="s">
        <v>218</v>
      </c>
      <c r="B8" t="s">
        <v>229</v>
      </c>
      <c r="F8">
        <v>1.1433476773436373</v>
      </c>
    </row>
    <row r="9" spans="1:6" x14ac:dyDescent="0.25">
      <c r="A9" t="s">
        <v>219</v>
      </c>
      <c r="B9" t="s">
        <v>230</v>
      </c>
      <c r="F9">
        <v>1.0022548379984551</v>
      </c>
    </row>
    <row r="10" spans="1:6" x14ac:dyDescent="0.25">
      <c r="A10" t="s">
        <v>220</v>
      </c>
      <c r="B10" t="s">
        <v>230</v>
      </c>
      <c r="F10">
        <v>1.1324115209988255</v>
      </c>
    </row>
    <row r="11" spans="1:6" x14ac:dyDescent="0.25">
      <c r="A11" t="s">
        <v>221</v>
      </c>
      <c r="B11" t="s">
        <v>6</v>
      </c>
      <c r="F11">
        <v>0</v>
      </c>
    </row>
    <row r="12" spans="1:6" x14ac:dyDescent="0.25">
      <c r="A12" t="s">
        <v>222</v>
      </c>
      <c r="B12" t="s">
        <v>6</v>
      </c>
      <c r="F12">
        <v>0</v>
      </c>
    </row>
    <row r="13" spans="1:6" x14ac:dyDescent="0.25">
      <c r="A13" t="s">
        <v>223</v>
      </c>
      <c r="B13" t="s">
        <v>6</v>
      </c>
      <c r="F13">
        <v>5.5267327285264858E-2</v>
      </c>
    </row>
    <row r="14" spans="1:6" x14ac:dyDescent="0.25">
      <c r="A14" t="s">
        <v>224</v>
      </c>
      <c r="B14" t="s">
        <v>231</v>
      </c>
      <c r="F14">
        <v>0.22107459674868021</v>
      </c>
    </row>
    <row r="15" spans="1:6" x14ac:dyDescent="0.25">
      <c r="A15" t="s">
        <v>225</v>
      </c>
      <c r="B15" t="s">
        <v>232</v>
      </c>
      <c r="F15">
        <v>0.64324160017119159</v>
      </c>
    </row>
    <row r="16" spans="1:6" x14ac:dyDescent="0.25">
      <c r="A16" t="s">
        <v>0</v>
      </c>
      <c r="B16" t="s">
        <v>226</v>
      </c>
    </row>
    <row r="17" spans="1:2" x14ac:dyDescent="0.25">
      <c r="A17" t="s">
        <v>0</v>
      </c>
      <c r="B17" t="s">
        <v>227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4625-A59D-4A49-9A11-71FFA5F2FE4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Mb1</vt:lpstr>
      <vt:lpstr>Mb2</vt:lpstr>
      <vt:lpstr>Dyna</vt:lpstr>
      <vt:lpstr>Cil</vt:lpstr>
      <vt:lpstr>siRNA_qPCR</vt:lpstr>
      <vt:lpstr>LRP2WB</vt:lpstr>
      <vt:lpstr>LRP2_passWB</vt:lpstr>
      <vt:lpstr>AQP1WB</vt:lpstr>
      <vt:lpstr>siRNA</vt:lpstr>
      <vt:lpstr>VCAM1WB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Daiki Aomura</dc:creator>
  <cp:lastModifiedBy>Daiki Aomura</cp:lastModifiedBy>
  <dcterms:created xsi:type="dcterms:W3CDTF">2015-06-05T18:17:20Z</dcterms:created>
  <dcterms:modified xsi:type="dcterms:W3CDTF">2026-03-27T16:12:34Z</dcterms:modified>
</cp:coreProperties>
</file>